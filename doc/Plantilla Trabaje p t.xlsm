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amiliaRey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<sst xmlns="http://schemas.openxmlformats.org/spreadsheetml/2006/main" count="65" uniqueCount="47">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</sst>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29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7" fillId="0" borderId="0"/>
    <xf numFmtId="0" fontId="24" fillId="0" borderId="0" applyNumberFormat="0" applyFill="0" applyBorder="0" applyAlignment="0" applyProtection="0"/>
  </cellStyleXfs>
  <cellXfs count="57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1" fontId="0" fillId="0" borderId="4" xfId="0" applyNumberFormat="1" applyBorder="1"/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horizontal="left" vertical="center" wrapText="1" readingOrder="1"/>
    </xf>
    <xf numFmtId="0" fontId="9" fillId="2" borderId="10" xfId="0" applyFont="1" applyFill="1" applyBorder="1" applyAlignment="1">
      <alignment horizontal="left" vertical="center" wrapTex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5" fillId="0" borderId="4" xfId="0" applyNumberFormat="1" applyFont="1" applyBorder="1"/>
    <xf numFmtId="1" fontId="14" fillId="0" borderId="8" xfId="0" applyNumberFormat="1" applyFont="1" applyBorder="1" applyAlignment="1">
      <alignment horizontal="center" vertical="center"/>
    </xf>
    <xf numFmtId="14" fontId="16" fillId="3" borderId="0" xfId="0" applyNumberFormat="1" applyFont="1" applyFill="1" applyBorder="1" applyAlignment="1">
      <alignment horizontal="center" vertical="center" wrapText="1"/>
    </xf>
    <xf numFmtId="0" fontId="17" fillId="0" borderId="0" xfId="2"/>
    <xf numFmtId="0" fontId="18" fillId="0" borderId="0" xfId="2" applyFont="1" applyAlignment="1">
      <alignment vertical="center"/>
    </xf>
    <xf numFmtId="0" fontId="19" fillId="0" borderId="0" xfId="2" applyFont="1" applyAlignment="1">
      <alignment vertical="center"/>
    </xf>
    <xf numFmtId="0" fontId="18" fillId="0" borderId="0" xfId="2" applyFont="1" applyAlignment="1">
      <alignment vertical="top"/>
    </xf>
    <xf numFmtId="0" fontId="20" fillId="0" borderId="0" xfId="2" applyFont="1" applyAlignment="1">
      <alignment vertical="center"/>
    </xf>
    <xf numFmtId="0" fontId="21" fillId="0" borderId="0" xfId="0" applyFont="1"/>
    <xf numFmtId="165" fontId="22" fillId="7" borderId="0" xfId="1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 vertical="center" wrapText="1"/>
    </xf>
    <xf numFmtId="0" fontId="6" fillId="8" borderId="0" xfId="0" applyFont="1" applyFill="1"/>
    <xf numFmtId="0" fontId="24" fillId="0" borderId="0" xfId="3"/>
    <xf numFmtId="0" fontId="25" fillId="2" borderId="8" xfId="0" applyFont="1" applyFill="1" applyBorder="1" applyAlignment="1">
      <alignment horizontal="right" vertical="center" wrapText="1" readingOrder="1"/>
    </xf>
    <xf numFmtId="166" fontId="25" fillId="2" borderId="8" xfId="0" applyNumberFormat="1" applyFont="1" applyFill="1" applyBorder="1" applyAlignment="1">
      <alignment horizontal="left" vertical="center" wrapText="1" indent="1" readingOrder="1"/>
    </xf>
    <xf numFmtId="0" fontId="26" fillId="2" borderId="9" xfId="0" applyFont="1" applyFill="1" applyBorder="1" applyAlignment="1">
      <alignment horizontal="left" vertical="center" wrapText="1" indent="1" readingOrder="1"/>
    </xf>
    <xf numFmtId="0" fontId="26" fillId="2" borderId="10" xfId="0" applyFont="1" applyFill="1" applyBorder="1" applyAlignment="1">
      <alignment vertical="center" wrapText="1" readingOrder="1"/>
    </xf>
    <xf numFmtId="1" fontId="27" fillId="0" borderId="8" xfId="0" applyNumberFormat="1" applyFont="1" applyBorder="1" applyAlignment="1">
      <alignment horizontal="center" vertical="center"/>
    </xf>
    <xf numFmtId="0" fontId="25" fillId="2" borderId="8" xfId="0" applyFont="1" applyFill="1" applyBorder="1" applyAlignment="1">
      <alignment horizontal="left" vertical="center" wrapText="1" indent="1" readingOrder="1"/>
    </xf>
    <xf numFmtId="0" fontId="28" fillId="9" borderId="11" xfId="0" applyFont="1" applyFill="1" applyBorder="1" applyAlignment="1">
      <alignment vertical="center" wrapText="1"/>
    </xf>
    <xf numFmtId="0" fontId="28" fillId="9" borderId="12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" fillId="3" borderId="0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2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</c:strCache>
            </c:strRef>
          </c:cat>
          <c:val>
            <c:numRef>
              <c:f>PLANTILLA!$D$16:$D$30</c:f>
              <c:numCache>
                <c:formatCode>m/d/yyyy</c:formatCode>
                <c:ptCount val="15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2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</c:strCache>
            </c:strRef>
          </c:cat>
          <c:val>
            <c:numRef>
              <c:f>PLANTILLA!$F$16:$F$30</c:f>
              <c:numCache>
                <c:formatCode>#,##0.0</c:formatCode>
                <c:ptCount val="15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22</c:v>
                </c:pt>
                <c:pt idx="7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PLANTILLA!$I$16:$I$30</c:f>
              <c:numCache>
                <c:formatCode>0</c:formatCode>
                <c:ptCount val="15"/>
                <c:pt idx="1">
                  <c:v>90</c:v>
                </c:pt>
                <c:pt idx="2">
                  <c:v>100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7">
                  <c:v>70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474019120"/>
        <c:axId val="1474008784"/>
      </c:barChart>
      <c:catAx>
        <c:axId val="1474019120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74008784"/>
        <c:crosses val="autoZero"/>
        <c:auto val="1"/>
        <c:lblAlgn val="ctr"/>
        <c:lblOffset val="100"/>
        <c:noMultiLvlLbl val="0"/>
      </c:catAx>
      <c:valAx>
        <c:axId val="1474008784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74019120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xmlns="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xmlns="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xmlns="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xmlns="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xmlns="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xmlns="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:a16="http://schemas.microsoft.com/office/drawing/2014/main" xmlns="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:a16="http://schemas.microsoft.com/office/drawing/2014/main" xmlns="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95,0 %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CIQUE/Curso%20de%20Excel/App_Excel_For_All/Plantillas%20Web/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ownloads/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0" totalsRowShown="0" headerRowDxfId="11" headerRowBorderDxfId="10" tableBorderDxfId="9">
  <autoFilter ref="B15:J30"/>
  <tableColumns count="9">
    <tableColumn id="1" name="ACTIVIDADES" dataDxfId="8"/>
    <tableColumn id="3" name="RESPONSABLE" dataDxfId="7">
      <calculatedColumnFormula>+IFERROR(IF(FIND("Sprint",$B16,1)&gt;0,"",IF(C15&lt;&gt;"",C15,E15)),IF(C15&lt;&gt;"",C15,E15))</calculatedColumnFormula>
    </tableColumn>
    <tableColumn id="4" name="FECHA INICIO" dataDxfId="6"/>
    <tableColumn id="5" name="FECHA ENTREGA" dataDxfId="5"/>
    <tableColumn id="6" name="DURACIÓN_x000a_ (días)" dataDxfId="4">
      <calculatedColumnFormula>IF(AND(Tabla1[[#This Row],[FECHA INICIO]]&lt;&gt;"",Tabla1[[#This Row],[FECHA ENTREGA]]&lt;&gt;""),E16-D16+1,"")</calculatedColumnFormula>
    </tableColumn>
    <tableColumn id="7" name="STATUS" dataDxfId="3"/>
    <tableColumn id="8" name="Columna2" dataDxfId="2">
      <calculatedColumnFormula>+IF(G16="Terminada",$K$4,IF(G16="En progreso",$K$5,IF(G16="Bloqueada",$K$7,$K$6)))</calculatedColumnFormula>
    </tableColumn>
    <tableColumn id="9" name="PROGRESO (%)" dataDxfId="1">
      <calculatedColumnFormula>+VLOOKUP(G16,#REF!,2,FALSE)</calculatedColumnFormula>
    </tableColumn>
    <tableColumn id="10" name="DETALLE / COMENTARIO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6" customWidth="1"/>
    <col min="2" max="11" width="19" style="36" customWidth="1"/>
    <col min="12" max="16384" width="11.42578125" style="36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7" t="s">
        <v>23</v>
      </c>
      <c r="C4" s="38" t="s">
        <v>26</v>
      </c>
      <c r="D4" s="39"/>
      <c r="E4" s="39"/>
      <c r="F4" s="39"/>
      <c r="G4" s="39"/>
      <c r="H4" s="39"/>
      <c r="I4" s="39"/>
      <c r="J4" s="39"/>
      <c r="K4" s="39"/>
    </row>
    <row r="5" spans="2:11" ht="42" customHeight="1" x14ac:dyDescent="0.25">
      <c r="B5" s="40" t="s">
        <v>24</v>
      </c>
      <c r="C5" s="39"/>
      <c r="D5" s="39"/>
      <c r="E5" s="39"/>
      <c r="F5" s="39"/>
      <c r="G5" s="39"/>
      <c r="H5" s="39"/>
      <c r="I5" s="39"/>
      <c r="J5" s="39"/>
      <c r="K5" s="39"/>
    </row>
    <row r="6" spans="2:11" ht="15" customHeight="1" x14ac:dyDescent="0.25"/>
    <row r="19" spans="9:9" ht="21" x14ac:dyDescent="0.35">
      <c r="I19" s="41" t="s">
        <v>25</v>
      </c>
    </row>
    <row r="60" spans="9:10" x14ac:dyDescent="0.25">
      <c r="J60" s="45"/>
    </row>
    <row r="64" spans="9:10" ht="21" x14ac:dyDescent="0.35">
      <c r="I64" s="41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52" t="s">
        <v>29</v>
      </c>
    </row>
    <row r="8" spans="3:5" ht="30" x14ac:dyDescent="0.25">
      <c r="C8" t="s">
        <v>11</v>
      </c>
      <c r="E8" s="53" t="s">
        <v>30</v>
      </c>
    </row>
    <row r="9" spans="3:5" ht="30" x14ac:dyDescent="0.25">
      <c r="C9" t="s">
        <v>12</v>
      </c>
      <c r="E9" s="53" t="s">
        <v>31</v>
      </c>
    </row>
    <row r="10" spans="3:5" ht="30" x14ac:dyDescent="0.25">
      <c r="C10" t="s">
        <v>13</v>
      </c>
      <c r="E10" s="53" t="s">
        <v>32</v>
      </c>
    </row>
    <row r="11" spans="3:5" ht="45" x14ac:dyDescent="0.25">
      <c r="E11" s="53" t="s">
        <v>33</v>
      </c>
    </row>
    <row r="12" spans="3:5" ht="30" x14ac:dyDescent="0.25">
      <c r="E12" s="53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0"/>
  <sheetViews>
    <sheetView showGridLines="0" tabSelected="1" zoomScale="85" zoomScaleNormal="85" workbookViewId="0">
      <pane ySplit="15" topLeftCell="A16" activePane="bottomLeft" state="frozen"/>
      <selection pane="bottomLeft" activeCell="C8" sqref="C8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6" t="s">
        <v>41</v>
      </c>
      <c r="D6" s="56"/>
      <c r="E6" s="56"/>
      <c r="G6" s="4" t="s">
        <v>21</v>
      </c>
      <c r="H6" s="31"/>
      <c r="I6" s="35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31"/>
      <c r="I8" s="54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43" t="s">
        <v>27</v>
      </c>
      <c r="H14" s="31"/>
      <c r="I14" s="42">
        <f>+AVERAGEIF(Tabla1[PROGRESO (%)],"&gt;0",Tabla1[[#All],[PROGRESO (%)]])</f>
        <v>95</v>
      </c>
    </row>
    <row r="15" spans="2:11" ht="30.75" customHeight="1" x14ac:dyDescent="0.25">
      <c r="B15" s="21" t="s">
        <v>1</v>
      </c>
      <c r="C15" s="30" t="s">
        <v>20</v>
      </c>
      <c r="D15" s="21" t="s">
        <v>0</v>
      </c>
      <c r="E15" s="21" t="s">
        <v>4</v>
      </c>
      <c r="F15" s="21" t="s">
        <v>6</v>
      </c>
      <c r="G15" s="22" t="s">
        <v>2</v>
      </c>
      <c r="H15" s="29" t="s">
        <v>19</v>
      </c>
      <c r="I15" s="30" t="s">
        <v>14</v>
      </c>
      <c r="J15" s="21" t="s">
        <v>3</v>
      </c>
      <c r="K15" s="3"/>
    </row>
    <row r="16" spans="2:11" ht="30.75" customHeight="1" x14ac:dyDescent="0.25">
      <c r="B16" s="20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18"/>
      <c r="J16" s="17"/>
      <c r="K16" s="3"/>
    </row>
    <row r="17" spans="2:11" ht="30.75" customHeight="1" x14ac:dyDescent="0.25">
      <c r="B17" s="19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11</v>
      </c>
      <c r="H17" s="14" t="str">
        <f>IF(Tabla1[[#This Row],[STATUS]]&lt;&gt;"",IF(G17="Terminada",$K$4,IF(G17="En progreso",$K$5,IF(G17="Bloqueada",$K$7,$K$6))),"")</f>
        <v>⏰</v>
      </c>
      <c r="I17" s="32">
        <v>90</v>
      </c>
      <c r="J17" s="12"/>
      <c r="K17" s="3"/>
    </row>
    <row r="18" spans="2:11" ht="30.75" customHeight="1" x14ac:dyDescent="0.25">
      <c r="B18" s="19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32">
        <v>100</v>
      </c>
      <c r="J18" s="12"/>
      <c r="K18" s="3"/>
    </row>
    <row r="19" spans="2:11" ht="30.75" customHeight="1" x14ac:dyDescent="0.25">
      <c r="B19" s="19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11</v>
      </c>
      <c r="H19" s="14" t="str">
        <f>IF(Tabla1[[#This Row],[STATUS]]&lt;&gt;"",IF(G19="Terminada",$K$4,IF(G19="En progreso",$K$5,IF(G19="Bloqueada",$K$7,$K$6))),"")</f>
        <v>⏰</v>
      </c>
      <c r="I19" s="32">
        <v>30</v>
      </c>
      <c r="J19" s="12"/>
      <c r="K19" s="3"/>
    </row>
    <row r="20" spans="2:11" ht="30.75" customHeight="1" x14ac:dyDescent="0.25">
      <c r="B20" s="19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10</v>
      </c>
      <c r="H20" s="14" t="str">
        <f>IF(Tabla1[[#This Row],[STATUS]]&lt;&gt;"",IF(G20="Terminada",$K$4,IF(G20="En progreso",$K$5,IF(G20="Bloqueada",$K$7,$K$6))),"")</f>
        <v>⌛</v>
      </c>
      <c r="I20" s="32">
        <v>0</v>
      </c>
      <c r="J20" s="12"/>
      <c r="K20" s="3"/>
    </row>
    <row r="21" spans="2:11" ht="30.75" customHeight="1" x14ac:dyDescent="0.25">
      <c r="B21" s="19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11</v>
      </c>
      <c r="H21" s="14" t="str">
        <f>IF(Tabla1[[#This Row],[STATUS]]&lt;&gt;"",IF(G21="Terminada",$K$4,IF(G21="En progreso",$K$5,IF(G21="Bloqueada",$K$7,$K$6))),"")</f>
        <v>⏰</v>
      </c>
      <c r="I21" s="32">
        <v>0</v>
      </c>
      <c r="J21" s="12"/>
      <c r="K21" s="3"/>
    </row>
    <row r="22" spans="2:11" ht="30.75" customHeight="1" x14ac:dyDescent="0.25">
      <c r="B22" s="19" t="s">
        <v>40</v>
      </c>
      <c r="C22" s="15" t="s">
        <v>33</v>
      </c>
      <c r="D22" s="10">
        <v>44322</v>
      </c>
      <c r="E22" s="15">
        <v>44343</v>
      </c>
      <c r="F22" s="16">
        <f>IF(AND(Tabla1[[#This Row],[FECHA INICIO]]&lt;&gt;"",Tabla1[[#This Row],[FECHA ENTREGA]]&lt;&gt;""),E22-D22+1,"")</f>
        <v>22</v>
      </c>
      <c r="G22" s="13" t="s">
        <v>11</v>
      </c>
      <c r="H22" s="17" t="str">
        <f>IF(Tabla1[[#This Row],[STATUS]]&lt;&gt;"",IF(G22="Terminada",$K$4,IF(G22="En progreso",$K$5,IF(G22="Bloqueada",$K$7,$K$6))),"")</f>
        <v>⏰</v>
      </c>
      <c r="I22" s="33"/>
      <c r="J22" s="17"/>
      <c r="K22" s="3"/>
    </row>
    <row r="23" spans="2:11" ht="30.75" customHeight="1" x14ac:dyDescent="0.25">
      <c r="B23" s="19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11</v>
      </c>
      <c r="H23" s="14" t="str">
        <f>IF(Tabla1[[#This Row],[STATUS]]&lt;&gt;"",IF(G23="Terminada",$K$4,IF(G23="En progreso",$K$5,IF(G23="Bloqueada",$K$7,$K$6))),"")</f>
        <v>⏰</v>
      </c>
      <c r="I23" s="32">
        <v>70</v>
      </c>
      <c r="J23" s="12"/>
      <c r="K23" s="3"/>
    </row>
    <row r="24" spans="2:11" ht="30.75" customHeight="1" x14ac:dyDescent="0.25">
      <c r="B24" s="55" t="s">
        <v>43</v>
      </c>
      <c r="C24" s="10"/>
      <c r="D24" s="10"/>
      <c r="E24" s="10"/>
      <c r="F24" s="16"/>
      <c r="G24" s="13"/>
      <c r="H24" s="14"/>
      <c r="I24" s="32"/>
      <c r="J24" s="12"/>
      <c r="K24" s="3"/>
    </row>
    <row r="25" spans="2:11" ht="30.75" customHeight="1" x14ac:dyDescent="0.25">
      <c r="B25" s="19" t="s">
        <v>44</v>
      </c>
      <c r="C25" s="10" t="s">
        <v>30</v>
      </c>
      <c r="D25" s="10"/>
      <c r="E25" s="10"/>
      <c r="F25" s="16"/>
      <c r="G25" s="13"/>
      <c r="H25" s="27"/>
      <c r="I25" s="32"/>
      <c r="J25" s="12"/>
      <c r="K25" s="3"/>
    </row>
    <row r="26" spans="2:11" ht="30.75" customHeight="1" x14ac:dyDescent="0.25">
      <c r="B26" s="23" t="s">
        <v>45</v>
      </c>
      <c r="C26" s="24" t="s">
        <v>29</v>
      </c>
      <c r="D26" s="24"/>
      <c r="E26" s="24"/>
      <c r="F26" s="16"/>
      <c r="G26" s="25"/>
      <c r="H26" s="28"/>
      <c r="I26" s="34"/>
      <c r="J26" s="26"/>
      <c r="K26" s="3"/>
    </row>
    <row r="27" spans="2:11" ht="30.75" customHeight="1" x14ac:dyDescent="0.25">
      <c r="B27" s="46" t="s">
        <v>46</v>
      </c>
      <c r="C27" s="47" t="s">
        <v>34</v>
      </c>
      <c r="D27" s="47"/>
      <c r="E27" s="47"/>
      <c r="F27" s="16"/>
      <c r="G27" s="48"/>
      <c r="H27" s="49"/>
      <c r="I27" s="50"/>
      <c r="J27" s="51"/>
      <c r="K27" s="3"/>
    </row>
    <row r="28" spans="2:11" ht="30.75" customHeight="1" x14ac:dyDescent="0.25">
      <c r="B28" s="46"/>
      <c r="C28" s="47"/>
      <c r="D28" s="47"/>
      <c r="E28" s="47"/>
      <c r="F28" s="16"/>
      <c r="G28" s="48"/>
      <c r="H28" s="49"/>
      <c r="I28" s="50"/>
      <c r="J28" s="51"/>
      <c r="K28" s="3"/>
    </row>
    <row r="29" spans="2:11" ht="30.75" customHeight="1" x14ac:dyDescent="0.25">
      <c r="B29" s="46"/>
      <c r="C29" s="47"/>
      <c r="D29" s="47"/>
      <c r="E29" s="47"/>
      <c r="F29" s="16"/>
      <c r="G29" s="48"/>
      <c r="H29" s="49"/>
      <c r="I29" s="50"/>
      <c r="J29" s="51"/>
      <c r="K29" s="3"/>
    </row>
    <row r="30" spans="2:11" ht="30.75" customHeight="1" x14ac:dyDescent="0.25">
      <c r="B30" s="46"/>
      <c r="C30" s="47"/>
      <c r="D30" s="47"/>
      <c r="E30" s="47"/>
      <c r="F30" s="16"/>
      <c r="G30" s="48"/>
      <c r="H30" s="49"/>
      <c r="I30" s="50"/>
      <c r="J30" s="51"/>
      <c r="K30" s="3"/>
    </row>
  </sheetData>
  <sheetProtection formatCells="0" formatColumns="0" formatRows="0" insertColumns="0" insertRows="0" pivotTables="0"/>
  <mergeCells count="1">
    <mergeCell ref="C6:E6"/>
  </mergeCells>
  <conditionalFormatting sqref="I23:I26 I17">
    <cfRule type="expression" dxfId="62" priority="260">
      <formula>$G17="No iniciada"</formula>
    </cfRule>
    <cfRule type="expression" dxfId="61" priority="261">
      <formula>$G17="Bloqueada"</formula>
    </cfRule>
    <cfRule type="dataBar" priority="26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6">
    <cfRule type="expression" dxfId="60" priority="265">
      <formula>G17="Terminada"</formula>
    </cfRule>
  </conditionalFormatting>
  <conditionalFormatting sqref="G17 G23:G26">
    <cfRule type="cellIs" dxfId="59" priority="262" operator="equal">
      <formula>"Bloqueada"</formula>
    </cfRule>
    <cfRule type="cellIs" dxfId="58" priority="263" operator="equal">
      <formula>"No iniciada"</formula>
    </cfRule>
    <cfRule type="cellIs" dxfId="57" priority="264" operator="equal">
      <formula>"En Progreso"</formula>
    </cfRule>
  </conditionalFormatting>
  <conditionalFormatting sqref="I18:I21">
    <cfRule type="expression" dxfId="56" priority="253">
      <formula>$G18="No iniciada"</formula>
    </cfRule>
    <cfRule type="expression" dxfId="55" priority="254">
      <formula>$G18="Bloqueada"</formula>
    </cfRule>
    <cfRule type="dataBar" priority="25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54" priority="258">
      <formula>G18="Terminada"</formula>
    </cfRule>
  </conditionalFormatting>
  <conditionalFormatting sqref="G18:G21">
    <cfRule type="cellIs" dxfId="53" priority="255" operator="equal">
      <formula>"Bloqueada"</formula>
    </cfRule>
    <cfRule type="cellIs" dxfId="52" priority="256" operator="equal">
      <formula>"No iniciada"</formula>
    </cfRule>
    <cfRule type="cellIs" dxfId="51" priority="257" operator="equal">
      <formula>"En Progreso"</formula>
    </cfRule>
  </conditionalFormatting>
  <conditionalFormatting sqref="B16:J686">
    <cfRule type="expression" dxfId="50" priority="244">
      <formula>FIND("Sprint",$B16,1)&gt;0</formula>
    </cfRule>
  </conditionalFormatting>
  <conditionalFormatting sqref="I27">
    <cfRule type="expression" dxfId="49" priority="36">
      <formula>$G27="No iniciada"</formula>
    </cfRule>
    <cfRule type="expression" dxfId="48" priority="37">
      <formula>$G27="Bloqueada"</formula>
    </cfRule>
    <cfRule type="dataBar" priority="4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:H27">
    <cfRule type="expression" dxfId="47" priority="41">
      <formula>G27="Terminada"</formula>
    </cfRule>
  </conditionalFormatting>
  <conditionalFormatting sqref="G27">
    <cfRule type="cellIs" dxfId="46" priority="38" operator="equal">
      <formula>"Bloqueada"</formula>
    </cfRule>
    <cfRule type="cellIs" dxfId="45" priority="39" operator="equal">
      <formula>"No iniciada"</formula>
    </cfRule>
    <cfRule type="cellIs" dxfId="44" priority="40" operator="equal">
      <formula>"En Progreso"</formula>
    </cfRule>
  </conditionalFormatting>
  <conditionalFormatting sqref="B27:J27">
    <cfRule type="expression" dxfId="43" priority="35">
      <formula>FIND("Sprint",$B27,1)&gt;0</formula>
    </cfRule>
  </conditionalFormatting>
  <conditionalFormatting sqref="B28:J28">
    <cfRule type="expression" dxfId="42" priority="34">
      <formula>FIND("Sprint",$B28,1)&gt;0</formula>
    </cfRule>
  </conditionalFormatting>
  <conditionalFormatting sqref="I28">
    <cfRule type="expression" dxfId="41" priority="27">
      <formula>$G28="No iniciada"</formula>
    </cfRule>
    <cfRule type="expression" dxfId="40" priority="28">
      <formula>$G28="Bloqueada"</formula>
    </cfRule>
    <cfRule type="dataBar" priority="3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{3356C1C9-65C3-4CED-82C9-2C27A35E07DB}</x14:id>
        </ext>
      </extLst>
    </cfRule>
  </conditionalFormatting>
  <conditionalFormatting sqref="G28:H28">
    <cfRule type="expression" dxfId="39" priority="32">
      <formula>G28="Terminada"</formula>
    </cfRule>
  </conditionalFormatting>
  <conditionalFormatting sqref="G28">
    <cfRule type="cellIs" dxfId="38" priority="29" operator="equal">
      <formula>"Bloqueada"</formula>
    </cfRule>
    <cfRule type="cellIs" dxfId="37" priority="30" operator="equal">
      <formula>"No iniciada"</formula>
    </cfRule>
    <cfRule type="cellIs" dxfId="36" priority="31" operator="equal">
      <formula>"En Progreso"</formula>
    </cfRule>
  </conditionalFormatting>
  <conditionalFormatting sqref="B28:J28">
    <cfRule type="expression" dxfId="35" priority="26">
      <formula>FIND("Sprint",$B28,1)&gt;0</formula>
    </cfRule>
  </conditionalFormatting>
  <conditionalFormatting sqref="B29:J29">
    <cfRule type="expression" dxfId="34" priority="25">
      <formula>FIND("Sprint",$B29,1)&gt;0</formula>
    </cfRule>
  </conditionalFormatting>
  <conditionalFormatting sqref="B29:J29">
    <cfRule type="expression" dxfId="33" priority="24">
      <formula>FIND("Sprint",$B29,1)&gt;0</formula>
    </cfRule>
  </conditionalFormatting>
  <conditionalFormatting sqref="I29">
    <cfRule type="expression" dxfId="32" priority="17">
      <formula>$G29="No iniciada"</formula>
    </cfRule>
    <cfRule type="expression" dxfId="31" priority="18">
      <formula>$G29="Bloqueada"</formula>
    </cfRule>
    <cfRule type="dataBar" priority="2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{C18ED48D-3ECC-4068-861D-B3E5B73C8B49}</x14:id>
        </ext>
      </extLst>
    </cfRule>
  </conditionalFormatting>
  <conditionalFormatting sqref="G29:H29">
    <cfRule type="expression" dxfId="30" priority="22">
      <formula>G29="Terminada"</formula>
    </cfRule>
  </conditionalFormatting>
  <conditionalFormatting sqref="G29">
    <cfRule type="cellIs" dxfId="29" priority="19" operator="equal">
      <formula>"Bloqueada"</formula>
    </cfRule>
    <cfRule type="cellIs" dxfId="28" priority="20" operator="equal">
      <formula>"No iniciada"</formula>
    </cfRule>
    <cfRule type="cellIs" dxfId="27" priority="21" operator="equal">
      <formula>"En Progreso"</formula>
    </cfRule>
  </conditionalFormatting>
  <conditionalFormatting sqref="B29:J29">
    <cfRule type="expression" dxfId="26" priority="16">
      <formula>FIND("Sprint",$B29,1)&gt;0</formula>
    </cfRule>
  </conditionalFormatting>
  <conditionalFormatting sqref="B30:J30">
    <cfRule type="expression" dxfId="25" priority="15">
      <formula>FIND("Sprint",$B30,1)&gt;0</formula>
    </cfRule>
  </conditionalFormatting>
  <conditionalFormatting sqref="B30:J30">
    <cfRule type="expression" dxfId="24" priority="14">
      <formula>FIND("Sprint",$B30,1)&gt;0</formula>
    </cfRule>
  </conditionalFormatting>
  <conditionalFormatting sqref="B30:J30">
    <cfRule type="expression" dxfId="23" priority="13">
      <formula>FIND("Sprint",$B30,1)&gt;0</formula>
    </cfRule>
  </conditionalFormatting>
  <conditionalFormatting sqref="I30">
    <cfRule type="expression" dxfId="22" priority="6">
      <formula>$G30="No iniciada"</formula>
    </cfRule>
    <cfRule type="expression" dxfId="21" priority="7">
      <formula>$G30="Bloqueada"</formula>
    </cfRule>
    <cfRule type="dataBar" priority="1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{ADEC3371-C388-470F-AE58-4E21AB60C34A}</x14:id>
        </ext>
      </extLst>
    </cfRule>
  </conditionalFormatting>
  <conditionalFormatting sqref="G30:H30">
    <cfRule type="expression" dxfId="20" priority="11">
      <formula>G30="Terminada"</formula>
    </cfRule>
  </conditionalFormatting>
  <conditionalFormatting sqref="G30">
    <cfRule type="cellIs" dxfId="19" priority="8" operator="equal">
      <formula>"Bloqueada"</formula>
    </cfRule>
    <cfRule type="cellIs" dxfId="18" priority="9" operator="equal">
      <formula>"No iniciada"</formula>
    </cfRule>
    <cfRule type="cellIs" dxfId="17" priority="10" operator="equal">
      <formula>"En Progreso"</formula>
    </cfRule>
  </conditionalFormatting>
  <conditionalFormatting sqref="B30:J30">
    <cfRule type="expression" dxfId="16" priority="5">
      <formula>FIND("Sprint",$B30,1)&gt;0</formula>
    </cfRule>
  </conditionalFormatting>
  <conditionalFormatting sqref="G22">
    <cfRule type="expression" dxfId="15" priority="4">
      <formula>G22="Terminada"</formula>
    </cfRule>
  </conditionalFormatting>
  <conditionalFormatting sqref="G22">
    <cfRule type="cellIs" dxfId="14" priority="1" operator="equal">
      <formula>"Bloqueada"</formula>
    </cfRule>
    <cfRule type="cellIs" dxfId="13" priority="2" operator="equal">
      <formula>"No iniciada"</formula>
    </cfRule>
    <cfRule type="cellIs" dxfId="12" priority="3" operator="equal">
      <formula>"En Progreso"</formula>
    </cfRule>
  </conditionalFormatting>
  <dataValidations count="4">
    <dataValidation type="list" allowBlank="1" showInputMessage="1" showErrorMessage="1" sqref="G17:G30">
      <formula1>estados</formula1>
    </dataValidation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C16:C30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I23:I26 I17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I18:I21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356C1C9-65C3-4CED-82C9-2C27A35E07DB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8ED48D-3ECC-4068-861D-B3E5B73C8B49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ADEC3371-C388-470F-AE58-4E21AB60C34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workbookViewId="0">
      <selection activeCell="T2" sqref="T2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2" ht="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8"/>
    </row>
    <row r="3" spans="1:22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2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2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22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2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22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</row>
    <row r="9" spans="1:22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</row>
    <row r="10" spans="1:22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</row>
    <row r="11" spans="1:22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</row>
    <row r="12" spans="1:22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22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22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</row>
    <row r="15" spans="1:22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</row>
    <row r="16" spans="1:22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</row>
    <row r="17" spans="1:21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</row>
    <row r="18" spans="1:2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</row>
    <row r="19" spans="1:21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</row>
    <row r="20" spans="1:21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</row>
    <row r="21" spans="1:21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1:21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1:21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1:2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1:2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1:21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1:21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1:21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1:21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1:21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1" spans="1:21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2021-05-23T18:56:27Z</dcterms:modified>
</cp:coreProperties>
</file>