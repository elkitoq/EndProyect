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Documents\CRISTIAN\EndProyect\doc\"/>
    </mc:Choice>
  </mc:AlternateContent>
  <bookViews>
    <workbookView xWindow="-120" yWindow="-120" windowWidth="24240" windowHeight="13140" activeTab="2"/>
  </bookViews>
  <sheets>
    <sheet name="- AYUDA -" sheetId="7" r:id="rId1"/>
    <sheet name="Valores" sheetId="9" r:id="rId2"/>
    <sheet name="PLANTILLA" sheetId="1" r:id="rId3"/>
    <sheet name="RESUMEN GRÁFICO" sheetId="4" r:id="rId4"/>
  </sheets>
  <externalReferences>
    <externalReference r:id="rId5"/>
    <externalReference r:id="rId6"/>
    <externalReference r:id="rId7"/>
  </externalReferences>
  <definedNames>
    <definedName name="A">'[1]TABLA AMORTIZACIÓN'!$D$12</definedName>
    <definedName name="Codigos">[2]!Productos[CÓDIGO]</definedName>
    <definedName name="Comprobantes">'[3]Tabla de Comprobantes'!$A$3:$A$65</definedName>
    <definedName name="estados">Valores!$C$7:$C$10</definedName>
    <definedName name="N">'[1]TABLA AMORTIZACIÓN'!$D$9</definedName>
    <definedName name="PC">'[3]Tabla de Comprobantes'!$E$3:$E$14</definedName>
    <definedName name="progreso">#REF!</definedName>
    <definedName name="responsables">Valores!$E$7:$E$12</definedName>
    <definedName name="Tabla3">Valores!$E$7:$E$12</definedName>
    <definedName name="Tipo">[2]Auxiliar!$A$3:$A$5</definedName>
    <definedName name="VP">'[1]TABLA AMORTIZACIÓN'!$D$7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" i="1" l="1"/>
  <c r="I16" i="1"/>
  <c r="C30" i="1"/>
  <c r="F30" i="1"/>
  <c r="H30" i="1"/>
  <c r="F23" i="1" l="1"/>
  <c r="I14" i="1" l="1"/>
  <c r="F22" i="1" l="1"/>
  <c r="F21" i="1"/>
  <c r="F20" i="1"/>
  <c r="F19" i="1"/>
  <c r="F18" i="1"/>
  <c r="F17" i="1"/>
  <c r="F16" i="1"/>
  <c r="H23" i="1"/>
  <c r="H22" i="1"/>
  <c r="H21" i="1"/>
  <c r="H20" i="1"/>
  <c r="H19" i="1"/>
  <c r="H18" i="1"/>
  <c r="H17" i="1"/>
  <c r="H16" i="1"/>
</calcChain>
</file>

<file path=xl/sharedStrings.xml><?xml version="1.0" encoding="utf-8"?>
<sst xmlns="http://schemas.openxmlformats.org/spreadsheetml/2006/main" count="77" uniqueCount="50">
  <si>
    <t>FECHA INICIO</t>
  </si>
  <si>
    <t>ACTIVIDADES</t>
  </si>
  <si>
    <t>STATUS</t>
  </si>
  <si>
    <t>DETALLE / COMENTARIO</t>
  </si>
  <si>
    <t>FECHA ENTREGA</t>
  </si>
  <si>
    <t>ALCANCE |OBJETIVO:</t>
  </si>
  <si>
    <t>DURACIÓN
 (días)</t>
  </si>
  <si>
    <t>RESPONSABLE:</t>
  </si>
  <si>
    <t xml:space="preserve">Sprint 1 </t>
  </si>
  <si>
    <t>Estados</t>
  </si>
  <si>
    <t>No iniciada</t>
  </si>
  <si>
    <t>En progreso</t>
  </si>
  <si>
    <t>Bloqueada</t>
  </si>
  <si>
    <t>Terminada</t>
  </si>
  <si>
    <t>PROGRESO (%)</t>
  </si>
  <si>
    <t>✔</t>
  </si>
  <si>
    <t>⏰</t>
  </si>
  <si>
    <t>⛔</t>
  </si>
  <si>
    <t>⌛</t>
  </si>
  <si>
    <t>Columna2</t>
  </si>
  <si>
    <t>RESPONSABLE</t>
  </si>
  <si>
    <t>FECHA INICIO:</t>
  </si>
  <si>
    <t>FECHA FINAL:</t>
  </si>
  <si>
    <t>Categoría:</t>
  </si>
  <si>
    <t>Instrucciones:</t>
  </si>
  <si>
    <t xml:space="preserve"> →</t>
  </si>
  <si>
    <t>Administración</t>
  </si>
  <si>
    <t>PROGRESO:</t>
  </si>
  <si>
    <t>Responsables</t>
  </si>
  <si>
    <t>Rey Cristian</t>
  </si>
  <si>
    <t>Escudero Victor</t>
  </si>
  <si>
    <t>Macaya Exequiel</t>
  </si>
  <si>
    <t>Hernández Agustín</t>
  </si>
  <si>
    <t>Daniele Maximiliano</t>
  </si>
  <si>
    <t>Mazzega Ignacio</t>
  </si>
  <si>
    <t>Acta inicio</t>
  </si>
  <si>
    <t>Acuerdo de convivencia</t>
  </si>
  <si>
    <t>Guia del programador</t>
  </si>
  <si>
    <t>Documentacion</t>
  </si>
  <si>
    <t>Historias de usuario</t>
  </si>
  <si>
    <t>Diagramas de Clases</t>
  </si>
  <si>
    <t>Rey Cristian, Escudero Victor, Macaya Exequiel, Hernández Agustín, Daniele Maximiliano, Mazzega Ignacio</t>
  </si>
  <si>
    <t>Diagramas de Casos de Uso</t>
  </si>
  <si>
    <t>Sprint 2</t>
  </si>
  <si>
    <t>ABM Usuario</t>
  </si>
  <si>
    <t>API</t>
  </si>
  <si>
    <t>Recuperacion de pass</t>
  </si>
  <si>
    <t>Cambiar diagrama de Clases</t>
  </si>
  <si>
    <t>Base de Datos</t>
  </si>
  <si>
    <t>Meterle más Seriedad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</si>
</sst>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\ &quot;%&quot;"/>
    <numFmt numFmtId="166" formatCode="dd/mm/yyyy"/>
  </numFmts>
  <fonts count="29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1"/>
      <color theme="1"/>
      <name val="Century Gothic"/>
      <family val="1"/>
    </font>
    <font>
      <sz val="10"/>
      <color theme="1"/>
      <name val="Century Gothic"/>
      <family val="1"/>
    </font>
    <font>
      <sz val="12"/>
      <color theme="1"/>
      <name val="Century Gothic"/>
      <family val="1"/>
    </font>
    <font>
      <sz val="10"/>
      <color rgb="FF000000"/>
      <name val="Century Gothic"/>
      <family val="1"/>
    </font>
    <font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entury Gothic"/>
      <family val="1"/>
    </font>
    <font>
      <b/>
      <sz val="11"/>
      <name val="Century Gothic"/>
      <family val="1"/>
    </font>
    <font>
      <b/>
      <sz val="11"/>
      <color theme="0"/>
      <name val="Century Gothic"/>
      <family val="1"/>
    </font>
    <font>
      <b/>
      <sz val="11"/>
      <color theme="9" tint="0.79998168889431442"/>
      <name val="Century Gothic"/>
      <family val="1"/>
    </font>
    <font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16"/>
      <color rgb="FF12A779"/>
      <name val="Calibri"/>
      <family val="2"/>
      <scheme val="minor"/>
    </font>
    <font>
      <b/>
      <sz val="16"/>
      <color theme="0"/>
      <name val="Century Gothic"/>
      <family val="2"/>
    </font>
    <font>
      <b/>
      <sz val="12"/>
      <color theme="1"/>
      <name val="Century Gothic"/>
      <family val="1"/>
    </font>
    <font>
      <u/>
      <sz val="11"/>
      <color theme="10"/>
      <name val="Calibri"/>
      <family val="2"/>
      <scheme val="minor"/>
    </font>
    <font>
      <sz val="10"/>
      <color rgb="FF000000"/>
      <name val="Century Gothic"/>
    </font>
    <font>
      <sz val="12"/>
      <color rgb="FF000000"/>
      <name val="Century Gothic"/>
    </font>
    <font>
      <b/>
      <sz val="13"/>
      <color theme="1"/>
      <name val="Calibri"/>
      <scheme val="minor"/>
    </font>
    <font>
      <b/>
      <sz val="11"/>
      <color rgb="FFB85B22"/>
      <name val="Calibri"/>
      <family val="2"/>
      <scheme val="minor"/>
    </font>
    <font>
      <b/>
      <sz val="10"/>
      <color rgb="FF000000"/>
      <name val="Century Gothic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rgb="FF7BA79D"/>
      </left>
      <right/>
      <top/>
      <bottom style="thin">
        <color rgb="FF7BA79D"/>
      </bottom>
      <diagonal/>
    </border>
    <border>
      <left style="thin">
        <color rgb="FF7BA79D"/>
      </left>
      <right/>
      <top style="thin">
        <color rgb="FF7BA79D"/>
      </top>
      <bottom style="thin">
        <color rgb="FF7BA79D"/>
      </bottom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6" fillId="0" borderId="0"/>
    <xf numFmtId="0" fontId="23" fillId="0" borderId="0" applyNumberFormat="0" applyFill="0" applyBorder="0" applyAlignment="0" applyProtection="0"/>
  </cellStyleXfs>
  <cellXfs count="61">
    <xf numFmtId="0" fontId="0" fillId="0" borderId="0" xfId="0"/>
    <xf numFmtId="0" fontId="4" fillId="0" borderId="0" xfId="0" applyFont="1"/>
    <xf numFmtId="0" fontId="3" fillId="0" borderId="0" xfId="0" applyFont="1" applyBorder="1"/>
    <xf numFmtId="1" fontId="0" fillId="0" borderId="0" xfId="0" applyNumberFormat="1"/>
    <xf numFmtId="0" fontId="1" fillId="0" borderId="0" xfId="0" applyFont="1" applyAlignment="1">
      <alignment horizontal="right" vertical="center" wrapText="1"/>
    </xf>
    <xf numFmtId="0" fontId="6" fillId="0" borderId="0" xfId="0" applyFont="1"/>
    <xf numFmtId="0" fontId="4" fillId="3" borderId="0" xfId="0" applyFont="1" applyFill="1" applyAlignment="1"/>
    <xf numFmtId="0" fontId="8" fillId="5" borderId="0" xfId="0" applyFont="1" applyFill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4" fontId="5" fillId="2" borderId="1" xfId="0" applyNumberFormat="1" applyFont="1" applyFill="1" applyBorder="1" applyAlignment="1">
      <alignment horizontal="left" vertical="center" wrapText="1" indent="1" readingOrder="1"/>
    </xf>
    <xf numFmtId="164" fontId="7" fillId="2" borderId="1" xfId="0" applyNumberFormat="1" applyFont="1" applyFill="1" applyBorder="1" applyAlignment="1">
      <alignment horizontal="center" vertical="center" wrapText="1" readingOrder="1"/>
    </xf>
    <xf numFmtId="0" fontId="5" fillId="2" borderId="1" xfId="0" applyFont="1" applyFill="1" applyBorder="1" applyAlignment="1">
      <alignment horizontal="left" vertical="center" wrapText="1" indent="1" readingOrder="1"/>
    </xf>
    <xf numFmtId="0" fontId="9" fillId="2" borderId="2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vertical="center" wrapText="1" readingOrder="1"/>
    </xf>
    <xf numFmtId="14" fontId="5" fillId="2" borderId="4" xfId="0" applyNumberFormat="1" applyFont="1" applyFill="1" applyBorder="1" applyAlignment="1">
      <alignment horizontal="left" vertical="center" wrapText="1" indent="1" readingOrder="1"/>
    </xf>
    <xf numFmtId="164" fontId="7" fillId="2" borderId="4" xfId="0" applyNumberFormat="1" applyFont="1" applyFill="1" applyBorder="1" applyAlignment="1">
      <alignment horizontal="center" vertical="center" wrapText="1" readingOrder="1"/>
    </xf>
    <xf numFmtId="0" fontId="5" fillId="2" borderId="4" xfId="0" applyFont="1" applyFill="1" applyBorder="1" applyAlignment="1">
      <alignment horizontal="left" vertical="center" wrapText="1" indent="1" readingOrder="1"/>
    </xf>
    <xf numFmtId="0" fontId="5" fillId="2" borderId="1" xfId="0" applyFont="1" applyFill="1" applyBorder="1" applyAlignment="1">
      <alignment horizontal="right" vertical="center" wrapText="1" readingOrder="1"/>
    </xf>
    <xf numFmtId="0" fontId="7" fillId="2" borderId="4" xfId="0" applyFont="1" applyFill="1" applyBorder="1" applyAlignment="1">
      <alignment horizontal="left" vertical="center" wrapText="1" readingOrder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right" vertical="center" wrapText="1" readingOrder="1"/>
    </xf>
    <xf numFmtId="14" fontId="5" fillId="2" borderId="8" xfId="0" applyNumberFormat="1" applyFont="1" applyFill="1" applyBorder="1" applyAlignment="1">
      <alignment horizontal="left" vertical="center" wrapText="1" indent="1" readingOrder="1"/>
    </xf>
    <xf numFmtId="0" fontId="9" fillId="2" borderId="9" xfId="0" applyFont="1" applyFill="1" applyBorder="1" applyAlignment="1">
      <alignment horizontal="left" vertical="center" wrapText="1" indent="1" readingOrder="1"/>
    </xf>
    <xf numFmtId="0" fontId="5" fillId="2" borderId="8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horizontal="left" vertical="center" wrapText="1" readingOrder="1"/>
    </xf>
    <xf numFmtId="0" fontId="9" fillId="2" borderId="10" xfId="0" applyFont="1" applyFill="1" applyBorder="1" applyAlignment="1">
      <alignment horizontal="left" vertical="center" wrapText="1" readingOrder="1"/>
    </xf>
    <xf numFmtId="0" fontId="12" fillId="4" borderId="7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wrapText="1"/>
    </xf>
    <xf numFmtId="1" fontId="14" fillId="0" borderId="1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4" fontId="15" fillId="3" borderId="0" xfId="0" applyNumberFormat="1" applyFont="1" applyFill="1" applyBorder="1" applyAlignment="1">
      <alignment horizontal="center" vertical="center" wrapText="1"/>
    </xf>
    <xf numFmtId="0" fontId="16" fillId="0" borderId="0" xfId="2"/>
    <xf numFmtId="0" fontId="17" fillId="0" borderId="0" xfId="2" applyFont="1" applyAlignment="1">
      <alignment vertical="center"/>
    </xf>
    <xf numFmtId="0" fontId="18" fillId="0" borderId="0" xfId="2" applyFont="1" applyAlignment="1">
      <alignment vertical="center"/>
    </xf>
    <xf numFmtId="0" fontId="17" fillId="0" borderId="0" xfId="2" applyFont="1" applyAlignment="1">
      <alignment vertical="top"/>
    </xf>
    <xf numFmtId="0" fontId="19" fillId="0" borderId="0" xfId="2" applyFont="1" applyAlignment="1">
      <alignment vertical="center"/>
    </xf>
    <xf numFmtId="0" fontId="20" fillId="0" borderId="0" xfId="0" applyFont="1"/>
    <xf numFmtId="165" fontId="21" fillId="7" borderId="0" xfId="1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6" fillId="8" borderId="0" xfId="0" applyFont="1" applyFill="1"/>
    <xf numFmtId="0" fontId="23" fillId="0" borderId="0" xfId="3"/>
    <xf numFmtId="0" fontId="24" fillId="2" borderId="8" xfId="0" applyFont="1" applyFill="1" applyBorder="1" applyAlignment="1">
      <alignment horizontal="right" vertical="center" wrapText="1" readingOrder="1"/>
    </xf>
    <xf numFmtId="166" fontId="24" fillId="2" borderId="8" xfId="0" applyNumberFormat="1" applyFont="1" applyFill="1" applyBorder="1" applyAlignment="1">
      <alignment horizontal="left" vertical="center" wrapText="1" indent="1" readingOrder="1"/>
    </xf>
    <xf numFmtId="0" fontId="25" fillId="2" borderId="9" xfId="0" applyFont="1" applyFill="1" applyBorder="1" applyAlignment="1">
      <alignment horizontal="left" vertical="center" wrapText="1" indent="1" readingOrder="1"/>
    </xf>
    <xf numFmtId="0" fontId="25" fillId="2" borderId="10" xfId="0" applyFont="1" applyFill="1" applyBorder="1" applyAlignment="1">
      <alignment vertical="center" wrapText="1" readingOrder="1"/>
    </xf>
    <xf numFmtId="1" fontId="26" fillId="0" borderId="8" xfId="0" applyNumberFormat="1" applyFont="1" applyBorder="1" applyAlignment="1">
      <alignment horizontal="center" vertical="center"/>
    </xf>
    <xf numFmtId="0" fontId="24" fillId="2" borderId="8" xfId="0" applyFont="1" applyFill="1" applyBorder="1" applyAlignment="1">
      <alignment horizontal="left" vertical="center" wrapText="1" indent="1" readingOrder="1"/>
    </xf>
    <xf numFmtId="0" fontId="27" fillId="9" borderId="11" xfId="0" applyFont="1" applyFill="1" applyBorder="1" applyAlignment="1">
      <alignment vertical="center" wrapText="1"/>
    </xf>
    <xf numFmtId="0" fontId="27" fillId="9" borderId="12" xfId="0" applyFont="1" applyFill="1" applyBorder="1" applyAlignment="1">
      <alignment vertical="center" wrapText="1"/>
    </xf>
    <xf numFmtId="14" fontId="2" fillId="3" borderId="0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left" vertical="center" wrapText="1" readingOrder="1"/>
    </xf>
    <xf numFmtId="0" fontId="2" fillId="3" borderId="0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right" vertical="center" wrapText="1" readingOrder="1"/>
    </xf>
    <xf numFmtId="166" fontId="24" fillId="2" borderId="1" xfId="0" applyNumberFormat="1" applyFont="1" applyFill="1" applyBorder="1" applyAlignment="1">
      <alignment horizontal="left" vertical="center" wrapText="1" indent="1" readingOrder="1"/>
    </xf>
    <xf numFmtId="164" fontId="28" fillId="2" borderId="1" xfId="0" applyNumberFormat="1" applyFont="1" applyFill="1" applyBorder="1" applyAlignment="1">
      <alignment horizontal="center" vertical="center" wrapText="1" readingOrder="1"/>
    </xf>
    <xf numFmtId="0" fontId="25" fillId="2" borderId="2" xfId="0" applyFont="1" applyFill="1" applyBorder="1" applyAlignment="1">
      <alignment horizontal="left" vertical="center" wrapText="1" indent="1" readingOrder="1"/>
    </xf>
    <xf numFmtId="0" fontId="25" fillId="2" borderId="3" xfId="0" applyFont="1" applyFill="1" applyBorder="1" applyAlignment="1">
      <alignment vertical="center" wrapText="1" readingOrder="1"/>
    </xf>
    <xf numFmtId="0" fontId="24" fillId="2" borderId="1" xfId="0" applyFont="1" applyFill="1" applyBorder="1" applyAlignment="1">
      <alignment horizontal="left" vertical="center" wrapText="1" indent="1" readingOrder="1"/>
    </xf>
  </cellXfs>
  <cellStyles count="4">
    <cellStyle name="Hipervínculo" xfId="3" builtinId="8"/>
    <cellStyle name="Normal" xfId="0" builtinId="0"/>
    <cellStyle name="Normal 3" xfId="2"/>
    <cellStyle name="Porcentaje" xfId="1" builtinId="5"/>
  </cellStyles>
  <dxfs count="73"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4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indexed="64"/>
        </top>
        <bottom style="thin">
          <color theme="0" tint="-0.149967955565050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CONTROL DEL PROYECTO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PLANTILLA!$D$15</c:f>
              <c:strCache>
                <c:ptCount val="1"/>
                <c:pt idx="0">
                  <c:v>FECHA INICIO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PLANTILLA!$B$16:$B$31</c:f>
              <c:strCache>
                <c:ptCount val="16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Cambiar diagrama de Clases</c:v>
                </c:pt>
                <c:pt idx="13">
                  <c:v>Base de Datos</c:v>
                </c:pt>
                <c:pt idx="14">
                  <c:v>Meterle más Seriedad</c:v>
                </c:pt>
                <c:pt idx="15">
                  <c:v>Documentacion</c:v>
                </c:pt>
              </c:strCache>
            </c:strRef>
          </c:cat>
          <c:val>
            <c:numRef>
              <c:f>PLANTILLA!$D$16:$D$31</c:f>
              <c:numCache>
                <c:formatCode>m/d/yyyy</c:formatCode>
                <c:ptCount val="16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44322</c:v>
                </c:pt>
                <c:pt idx="4">
                  <c:v>44336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24-4883-851E-0349DF0D6B91}"/>
            </c:ext>
          </c:extLst>
        </c:ser>
        <c:ser>
          <c:idx val="1"/>
          <c:order val="1"/>
          <c:tx>
            <c:strRef>
              <c:f>PLANTILLA!$F$15</c:f>
              <c:strCache>
                <c:ptCount val="1"/>
                <c:pt idx="0">
                  <c:v>DURACIÓN
 (días)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74000">
                  <a:schemeClr val="accent2"/>
                </a:gs>
                <a:gs pos="83000">
                  <a:schemeClr val="accent2">
                    <a:lumMod val="75000"/>
                  </a:schemeClr>
                </a:gs>
                <a:gs pos="100000">
                  <a:schemeClr val="accent2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PLANTILLA!$B$16:$B$31</c:f>
              <c:strCache>
                <c:ptCount val="16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Cambiar diagrama de Clases</c:v>
                </c:pt>
                <c:pt idx="13">
                  <c:v>Base de Datos</c:v>
                </c:pt>
                <c:pt idx="14">
                  <c:v>Meterle más Seriedad</c:v>
                </c:pt>
                <c:pt idx="15">
                  <c:v>Documentacion</c:v>
                </c:pt>
              </c:strCache>
            </c:strRef>
          </c:cat>
          <c:val>
            <c:numRef>
              <c:f>PLANTILLA!$F$16:$F$31</c:f>
              <c:numCache>
                <c:formatCode>#,##0.0</c:formatCode>
                <c:ptCount val="16"/>
                <c:pt idx="0">
                  <c:v>29</c:v>
                </c:pt>
                <c:pt idx="1">
                  <c:v>8</c:v>
                </c:pt>
                <c:pt idx="2">
                  <c:v>9</c:v>
                </c:pt>
                <c:pt idx="3">
                  <c:v>22</c:v>
                </c:pt>
                <c:pt idx="4">
                  <c:v>6</c:v>
                </c:pt>
                <c:pt idx="5">
                  <c:v>8</c:v>
                </c:pt>
                <c:pt idx="6">
                  <c:v>18</c:v>
                </c:pt>
                <c:pt idx="7">
                  <c:v>5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424-4883-851E-0349DF0D6B91}"/>
            </c:ext>
          </c:extLst>
        </c:ser>
        <c:ser>
          <c:idx val="2"/>
          <c:order val="2"/>
          <c:tx>
            <c:strRef>
              <c:f>PLANTILLA!$I$15</c:f>
              <c:strCache>
                <c:ptCount val="1"/>
                <c:pt idx="0">
                  <c:v>PROGRESO (%)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PLANTILLA!$I$16:$I$31</c:f>
              <c:numCache>
                <c:formatCode>0</c:formatCode>
                <c:ptCount val="1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F-4CC9-AADF-0FECF1DB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1067652304"/>
        <c:axId val="-1067649040"/>
      </c:barChart>
      <c:catAx>
        <c:axId val="-1067652304"/>
        <c:scaling>
          <c:orientation val="maxMin"/>
        </c:scaling>
        <c:delete val="0"/>
        <c:axPos val="l"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ACTIVIDADES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067649040"/>
        <c:crosses val="autoZero"/>
        <c:auto val="1"/>
        <c:lblAlgn val="ctr"/>
        <c:lblOffset val="100"/>
        <c:noMultiLvlLbl val="0"/>
      </c:catAx>
      <c:valAx>
        <c:axId val="-1067649040"/>
        <c:scaling>
          <c:orientation val="minMax"/>
          <c:min val="44300"/>
        </c:scaling>
        <c:delete val="0"/>
        <c:axPos val="t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067652304"/>
        <c:crosses val="autoZero"/>
        <c:crossBetween val="between"/>
        <c:majorUnit val="30"/>
        <c:minorUnit val="20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excelparatodos.com" TargetMode="External"/><Relationship Id="rId1" Type="http://schemas.openxmlformats.org/officeDocument/2006/relationships/hyperlink" Target="http://www.excelparatodos.com/contacto" TargetMode="External"/><Relationship Id="rId4" Type="http://schemas.openxmlformats.org/officeDocument/2006/relationships/hyperlink" Target="https://excelparatodos.com/producto/plantilla-administracion-de-proyectos-agile-premiu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efire.edu.gva.es/pluginfile.php/661776/mod_imscp/content/1/actividad_61_guardar_documentos_y_trabajar_con_tablas.html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433917</xdr:colOff>
      <xdr:row>4</xdr:row>
      <xdr:rowOff>453837</xdr:rowOff>
    </xdr:from>
    <xdr:to>
      <xdr:col>7</xdr:col>
      <xdr:colOff>963706</xdr:colOff>
      <xdr:row>75</xdr:row>
      <xdr:rowOff>100854</xdr:rowOff>
    </xdr:to>
    <xdr:sp macro="" textlink="">
      <xdr:nvSpPr>
        <xdr:cNvPr id="2" name="TextBox 4">
          <a:extLst>
            <a:ext uri="{FF2B5EF4-FFF2-40B4-BE49-F238E27FC236}">
              <a16:creationId xmlns="" xmlns:a16="http://schemas.microsoft.com/office/drawing/2014/main" id="{053C072C-608C-4637-8948-F851D31C2D0B}"/>
            </a:ext>
          </a:extLst>
        </xdr:cNvPr>
        <xdr:cNvSpPr txBox="1"/>
      </xdr:nvSpPr>
      <xdr:spPr>
        <a:xfrm>
          <a:off x="714064" y="1720102"/>
          <a:ext cx="8127377" cy="143603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plantilla excel 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proyectos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Agile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</a:t>
          </a:r>
          <a:r>
            <a:rPr lang="es-ES" sz="1800" b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de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Excel para todos; Diseñada para el control de proyectos, integrando metodologias agiles de parametrización de proyectos, especificamente la métodología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Scrum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cual los proyectos tienen siempre resultados funcionales e incrementales en cada Sprint. Por lo general esta metodología establece que cada sprint debe tener una duración de 1-4 semanas.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Tecnología: 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Plantilla elaborada en excel libro como macros .xlsm, utilizando tablas, funciones condicionales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SI Y O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formatos condicionales y listas desplegables. Además una pequeña macro en VBA.</a:t>
          </a:r>
        </a:p>
        <a:p>
          <a:endParaRPr lang="es-ES" sz="18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Para usarla,</a:t>
          </a:r>
          <a:r>
            <a:rPr lang="en-U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sigue estos pasos: </a:t>
          </a: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Hoja "PARÁMETROS":</a:t>
          </a:r>
        </a:p>
        <a:p>
          <a:endParaRPr lang="en-U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1.</a:t>
          </a:r>
          <a:r>
            <a:rPr lang="en-U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Estados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: En esta tabla estan listados 4 estados en los cuales se identifcará cada actividad del proyecto.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2.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Responsables: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Listar los nombres de los distintos resposables o involucrados del proyecto.</a:t>
          </a:r>
          <a:endParaRPr lang="es-E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"PLANTILLA":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1.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Diligenciar todos los campos que la hoja de excel le permita rellenar. 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Actividad: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Si es el inicio de cada sprint, siempre se debe escribir el nombre "Sprint" tal cual esta en los ejemplos y luego un identificador númerico o de texto. ej. "Sprint 1".</a:t>
          </a:r>
        </a:p>
        <a:p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De no ser el inicio, se debe escribir un nombre espcifico, en 2 o 3 frases de la actividad a realizar.	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Responsable: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 el responsable de cada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Status: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Seleccionar, uno de los 4 estatus seleccionados para las tareas.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Progreso: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Cuantificar escribiendo un número de 1 a 100 que represente el avance de la tarea. </a:t>
          </a: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Terminada debe ser igual al 100.</a:t>
          </a: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Detalle / Comentario: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Amplia la explicación o detalle de la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Cada que se vaya a insertar una nueva actividad o sprit, se debe dar clic al botón en amarillo agregar registro. solo para versión PREMIUM.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"RESUMEN GRÁFICO":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Gráfico Gannt, para representar todo el proyecto. y el % de terminación de las actividades planteadas.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1193426</xdr:colOff>
      <xdr:row>5</xdr:row>
      <xdr:rowOff>14817</xdr:rowOff>
    </xdr:from>
    <xdr:to>
      <xdr:col>11</xdr:col>
      <xdr:colOff>520326</xdr:colOff>
      <xdr:row>15</xdr:row>
      <xdr:rowOff>21167</xdr:rowOff>
    </xdr:to>
    <xdr:sp macro="" textlink="">
      <xdr:nvSpPr>
        <xdr:cNvPr id="3" name="TextBox 5">
          <a:extLst>
            <a:ext uri="{FF2B5EF4-FFF2-40B4-BE49-F238E27FC236}">
              <a16:creationId xmlns="" xmlns:a16="http://schemas.microsoft.com/office/drawing/2014/main" id="{E9CE76AA-DFB5-4B73-8CD2-E6CFD23960FD}"/>
            </a:ext>
          </a:extLst>
        </xdr:cNvPr>
        <xdr:cNvSpPr txBox="1"/>
      </xdr:nvSpPr>
      <xdr:spPr>
        <a:xfrm>
          <a:off x="9070601" y="1815042"/>
          <a:ext cx="4394200" cy="1997075"/>
        </a:xfrm>
        <a:prstGeom prst="rect">
          <a:avLst/>
        </a:prstGeom>
        <a:solidFill>
          <a:srgbClr val="FBFB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Más ayuda</a:t>
          </a:r>
        </a:p>
        <a:p>
          <a:endParaRPr lang="en-US" sz="800" b="1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Si quieres saber más sobre cómo usar esta plantilla,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o adaptarla, extenderla o corregir algún error, sigue este link y te ayudamos: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</xdr:col>
      <xdr:colOff>149410</xdr:colOff>
      <xdr:row>13</xdr:row>
      <xdr:rowOff>8467</xdr:rowOff>
    </xdr:from>
    <xdr:to>
      <xdr:col>11</xdr:col>
      <xdr:colOff>85910</xdr:colOff>
      <xdr:row>14</xdr:row>
      <xdr:rowOff>122767</xdr:rowOff>
    </xdr:to>
    <xdr:sp macro="" textlink="">
      <xdr:nvSpPr>
        <xdr:cNvPr id="4" name="TextBox 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BCB730A-89DF-40DA-B194-3F0362A38173}"/>
            </a:ext>
          </a:extLst>
        </xdr:cNvPr>
        <xdr:cNvSpPr txBox="1"/>
      </xdr:nvSpPr>
      <xdr:spPr>
        <a:xfrm>
          <a:off x="9293410" y="3399367"/>
          <a:ext cx="37369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0" rIns="274320" bIns="0" rtlCol="0" anchor="ctr"/>
        <a:lstStyle/>
        <a:p>
          <a:r>
            <a:rPr lang="en-US" sz="1600" b="1">
              <a:solidFill>
                <a:srgbClr val="12A779"/>
              </a:solidFill>
            </a:rPr>
            <a:t>Ver más ayuda →</a:t>
          </a:r>
        </a:p>
      </xdr:txBody>
    </xdr:sp>
    <xdr:clientData/>
  </xdr:twoCellAnchor>
  <xdr:oneCellAnchor>
    <xdr:from>
      <xdr:col>1</xdr:col>
      <xdr:colOff>42332</xdr:colOff>
      <xdr:row>0</xdr:row>
      <xdr:rowOff>10584</xdr:rowOff>
    </xdr:from>
    <xdr:ext cx="8608609" cy="730249"/>
    <xdr:sp macro="" textlink="">
      <xdr:nvSpPr>
        <xdr:cNvPr id="5" name="Rectángulo 4">
          <a:extLst>
            <a:ext uri="{FF2B5EF4-FFF2-40B4-BE49-F238E27FC236}">
              <a16:creationId xmlns="" xmlns:a16="http://schemas.microsoft.com/office/drawing/2014/main" id="{F3046905-D23E-4D78-B4C9-CC97A90AC945}"/>
            </a:ext>
          </a:extLst>
        </xdr:cNvPr>
        <xdr:cNvSpPr/>
      </xdr:nvSpPr>
      <xdr:spPr>
        <a:xfrm>
          <a:off x="318557" y="10584"/>
          <a:ext cx="8608609" cy="730249"/>
        </a:xfrm>
        <a:prstGeom prst="rect">
          <a:avLst/>
        </a:prstGeom>
        <a:solidFill>
          <a:srgbClr val="00B050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Plantilla Administración de Proyectos Agile</a:t>
          </a:r>
        </a:p>
        <a:p>
          <a:pPr algn="ctr"/>
          <a:r>
            <a:rPr lang="es-ES" sz="12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www.excelparatodos.com</a:t>
          </a:r>
          <a:endParaRPr lang="es-ES" sz="12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717176</xdr:colOff>
      <xdr:row>12</xdr:row>
      <xdr:rowOff>134472</xdr:rowOff>
    </xdr:from>
    <xdr:to>
      <xdr:col>10</xdr:col>
      <xdr:colOff>1241613</xdr:colOff>
      <xdr:row>15</xdr:row>
      <xdr:rowOff>45384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E4A4C02A-BB7C-4B69-9308-F3B0F8C5086A}"/>
            </a:ext>
          </a:extLst>
        </xdr:cNvPr>
        <xdr:cNvGrpSpPr/>
      </xdr:nvGrpSpPr>
      <xdr:grpSpPr>
        <a:xfrm>
          <a:off x="11127441" y="3339354"/>
          <a:ext cx="1790701" cy="516030"/>
          <a:chOff x="12496800" y="66675"/>
          <a:chExt cx="1790701" cy="514349"/>
        </a:xfrm>
      </xdr:grpSpPr>
      <xdr:pic>
        <xdr:nvPicPr>
          <xdr:cNvPr id="7" name="Imagen 6">
            <a:extLst>
              <a:ext uri="{FF2B5EF4-FFF2-40B4-BE49-F238E27FC236}">
                <a16:creationId xmlns="" xmlns:a16="http://schemas.microsoft.com/office/drawing/2014/main" id="{A688CFD8-2254-49DE-996F-77C31BAA48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96800" y="66675"/>
            <a:ext cx="514349" cy="514349"/>
          </a:xfrm>
          <a:prstGeom prst="rect">
            <a:avLst/>
          </a:prstGeom>
        </xdr:spPr>
      </xdr:pic>
      <xdr:sp macro="" textlink="">
        <xdr:nvSpPr>
          <xdr:cNvPr id="8" name="Rectángulo 7">
            <a:extLst>
              <a:ext uri="{FF2B5EF4-FFF2-40B4-BE49-F238E27FC236}">
                <a16:creationId xmlns="" xmlns:a16="http://schemas.microsoft.com/office/drawing/2014/main" id="{8DD0A1A3-9195-4D7A-898B-7C3C438A7F57}"/>
              </a:ext>
            </a:extLst>
          </xdr:cNvPr>
          <xdr:cNvSpPr/>
        </xdr:nvSpPr>
        <xdr:spPr>
          <a:xfrm>
            <a:off x="13011151" y="114300"/>
            <a:ext cx="1276350" cy="409575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s-ES" sz="12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Excel</a:t>
            </a:r>
            <a:r>
              <a:rPr lang="es-ES" sz="12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para Todos</a:t>
            </a:r>
            <a:endParaRPr lang="es-ES" sz="12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8</xdr:col>
      <xdr:colOff>381000</xdr:colOff>
      <xdr:row>61</xdr:row>
      <xdr:rowOff>112059</xdr:rowOff>
    </xdr:from>
    <xdr:to>
      <xdr:col>12</xdr:col>
      <xdr:colOff>627530</xdr:colOff>
      <xdr:row>65</xdr:row>
      <xdr:rowOff>145676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D00A9ACF-BCBF-436D-893C-F54CE3EC4A3D}"/>
            </a:ext>
          </a:extLst>
        </xdr:cNvPr>
        <xdr:cNvSpPr/>
      </xdr:nvSpPr>
      <xdr:spPr>
        <a:xfrm>
          <a:off x="9525000" y="13267765"/>
          <a:ext cx="4807324" cy="907676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500" b="1">
              <a:solidFill>
                <a:sysClr val="windowText" lastClr="000000"/>
              </a:solidFill>
            </a:rPr>
            <a:t>DESCARGAR PLANTILLA PREMIUM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78441</xdr:colOff>
      <xdr:row>0</xdr:row>
      <xdr:rowOff>67235</xdr:rowOff>
    </xdr:from>
    <xdr:ext cx="9356911" cy="595484"/>
    <xdr:sp macro="" textlink="">
      <xdr:nvSpPr>
        <xdr:cNvPr id="4" name="Rectángulo 3">
          <a:extLst>
            <a:ext uri="{FF2B5EF4-FFF2-40B4-BE49-F238E27FC236}">
              <a16:creationId xmlns="" xmlns:a16="http://schemas.microsoft.com/office/drawing/2014/main" id="{3BFC5627-A967-4B44-860B-26ED9D47E1BA}"/>
            </a:ext>
          </a:extLst>
        </xdr:cNvPr>
        <xdr:cNvSpPr/>
      </xdr:nvSpPr>
      <xdr:spPr>
        <a:xfrm>
          <a:off x="2465294" y="67235"/>
          <a:ext cx="9356911" cy="595484"/>
        </a:xfrm>
        <a:prstGeom prst="rect">
          <a:avLst/>
        </a:prstGeom>
        <a:solidFill>
          <a:srgbClr val="00B050"/>
        </a:solidFill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i="0" cap="none" spc="0">
              <a:ln w="10160">
                <a:noFill/>
                <a:prstDash val="solid"/>
              </a:ln>
              <a:solidFill>
                <a:schemeClr val="bg1"/>
              </a:solidFill>
              <a:effectLst/>
              <a:latin typeface="Century Gothic" panose="020B0502020202020204" pitchFamily="34" charset="0"/>
            </a:rPr>
            <a:t>Bolsa de Empleo - Maipu Jobs</a:t>
          </a:r>
        </a:p>
      </xdr:txBody>
    </xdr:sp>
    <xdr:clientData/>
  </xdr:oneCellAnchor>
  <xdr:twoCellAnchor>
    <xdr:from>
      <xdr:col>2</xdr:col>
      <xdr:colOff>358588</xdr:colOff>
      <xdr:row>4</xdr:row>
      <xdr:rowOff>186791</xdr:rowOff>
    </xdr:from>
    <xdr:to>
      <xdr:col>9</xdr:col>
      <xdr:colOff>1036574</xdr:colOff>
      <xdr:row>4</xdr:row>
      <xdr:rowOff>190500</xdr:rowOff>
    </xdr:to>
    <xdr:cxnSp macro="">
      <xdr:nvCxnSpPr>
        <xdr:cNvPr id="11" name="Conector recto de flecha 10">
          <a:extLst>
            <a:ext uri="{FF2B5EF4-FFF2-40B4-BE49-F238E27FC236}">
              <a16:creationId xmlns="" xmlns:a16="http://schemas.microsoft.com/office/drawing/2014/main" id="{6A43D901-1869-4883-9AD1-F4FC36346FF6}"/>
            </a:ext>
          </a:extLst>
        </xdr:cNvPr>
        <xdr:cNvCxnSpPr/>
      </xdr:nvCxnSpPr>
      <xdr:spPr>
        <a:xfrm>
          <a:off x="2106706" y="769497"/>
          <a:ext cx="8925515" cy="3709"/>
        </a:xfrm>
        <a:prstGeom prst="straightConnector1">
          <a:avLst/>
        </a:prstGeom>
        <a:ln w="31750">
          <a:headEnd type="oval"/>
          <a:tailEnd type="oval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55253</xdr:colOff>
      <xdr:row>4</xdr:row>
      <xdr:rowOff>268942</xdr:rowOff>
    </xdr:from>
    <xdr:to>
      <xdr:col>25</xdr:col>
      <xdr:colOff>212912</xdr:colOff>
      <xdr:row>5</xdr:row>
      <xdr:rowOff>336177</xdr:rowOff>
    </xdr:to>
    <xdr:pic macro="[0]!Agregar">
      <xdr:nvPicPr>
        <xdr:cNvPr id="15" name="Imagen 14">
          <a:extLst>
            <a:ext uri="{FF2B5EF4-FFF2-40B4-BE49-F238E27FC236}">
              <a16:creationId xmlns="" xmlns:a16="http://schemas.microsoft.com/office/drawing/2014/main" id="{D1632307-92DF-43F5-AEEC-FFD7FF47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6752018" y="851648"/>
          <a:ext cx="392982" cy="403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133351</xdr:rowOff>
    </xdr:from>
    <xdr:to>
      <xdr:col>19</xdr:col>
      <xdr:colOff>438149</xdr:colOff>
      <xdr:row>30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D8793B49-18E4-4357-9293-547A19159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571500</xdr:colOff>
      <xdr:row>0</xdr:row>
      <xdr:rowOff>66675</xdr:rowOff>
    </xdr:from>
    <xdr:to>
      <xdr:col>18</xdr:col>
      <xdr:colOff>114300</xdr:colOff>
      <xdr:row>3</xdr:row>
      <xdr:rowOff>114300</xdr:rowOff>
    </xdr:to>
    <xdr:sp macro="" textlink="PLANTILLA!$I$14">
      <xdr:nvSpPr>
        <xdr:cNvPr id="3" name="CuadroTexto 2">
          <a:extLst>
            <a:ext uri="{FF2B5EF4-FFF2-40B4-BE49-F238E27FC236}">
              <a16:creationId xmlns="" xmlns:a16="http://schemas.microsoft.com/office/drawing/2014/main" id="{AF511A05-93F6-4A02-A8CA-F818CE46DA12}"/>
            </a:ext>
          </a:extLst>
        </xdr:cNvPr>
        <xdr:cNvSpPr txBox="1"/>
      </xdr:nvSpPr>
      <xdr:spPr>
        <a:xfrm>
          <a:off x="8162925" y="66675"/>
          <a:ext cx="1066800" cy="58102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34705D-C8DB-4B4D-ADE0-BA95C2C13C8D}" type="TxLink">
            <a:rPr lang="en-US" sz="1600" b="1" i="0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100,0 %</a:t>
          </a:fld>
          <a:endParaRPr lang="es-E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ACIQUE\Curso%20de%20Excel\App_Excel_For_All\Plantillas%20Web\4.%20Plantilla_TablaAmortizaci&#243;n_Prestam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Downloads\planilla-de-excel-para-control-de-stock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tiago\Downloads\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TABLA AMORTIZACIÓN"/>
    </sheetNames>
    <sheetDataSet>
      <sheetData sheetId="0" refreshError="1"/>
      <sheetData sheetId="1">
        <row r="7">
          <cell r="D7">
            <v>1000000</v>
          </cell>
        </row>
        <row r="9">
          <cell r="D9">
            <v>96</v>
          </cell>
        </row>
        <row r="12">
          <cell r="D12">
            <v>15917.674824714726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15:J31" totalsRowShown="0" headerRowDxfId="72" headerRowBorderDxfId="71" tableBorderDxfId="70">
  <autoFilter ref="B15:J31"/>
  <tableColumns count="9">
    <tableColumn id="1" name="ACTIVIDADES" dataDxfId="69"/>
    <tableColumn id="3" name="RESPONSABLE" dataDxfId="68">
      <calculatedColumnFormula>+IFERROR(IF(FIND("Sprint",$B16,1)&gt;0,"",IF(C15&lt;&gt;"",C15,E15)),IF(C15&lt;&gt;"",C15,E15))</calculatedColumnFormula>
    </tableColumn>
    <tableColumn id="4" name="FECHA INICIO" dataDxfId="67"/>
    <tableColumn id="5" name="FECHA ENTREGA" dataDxfId="66"/>
    <tableColumn id="6" name="DURACIÓN_x000a_ (días)" dataDxfId="65">
      <calculatedColumnFormula>IF(AND(Tabla1[[#This Row],[FECHA INICIO]]&lt;&gt;"",Tabla1[[#This Row],[FECHA ENTREGA]]&lt;&gt;""),E16-D16+1,"")</calculatedColumnFormula>
    </tableColumn>
    <tableColumn id="7" name="STATUS" dataDxfId="64"/>
    <tableColumn id="8" name="Columna2" dataDxfId="63">
      <calculatedColumnFormula>+IF(G16="Terminada",$K$4,IF(G16="En progreso",$K$5,IF(G16="Bloqueada",$K$7,$K$6)))</calculatedColumnFormula>
    </tableColumn>
    <tableColumn id="9" name="PROGRESO (%)" dataDxfId="62">
      <calculatedColumnFormula>+VLOOKUP(G16,#REF!,2,FALSE)</calculatedColumnFormula>
    </tableColumn>
    <tableColumn id="10" name="DETALLE / COMENTARIO" dataDxfId="6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7E02254-1564-46E0-9DA0-0047C0028CC2}">
  <we:reference id="wa200001095" version="1.0.0.1" store="es-ES" storeType="OMEX"/>
  <we:alternateReferences>
    <we:reference id="wa200001095" version="1.0.0.1" store="WA200001095" storeType="OMEX"/>
  </we:alternateReferences>
  <we:properties>
    <we:property name="progress_gantt" value="true"/>
    <we:property name="progress_column" value="true"/>
    <we:property name="gantt_zoom" value="0"/>
    <we:property name="gantt_start" value="&quot;2020-10-23T00:00&quot;"/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B1:K64"/>
  <sheetViews>
    <sheetView showGridLines="0" zoomScale="85" zoomScaleNormal="85" workbookViewId="0">
      <pane ySplit="3" topLeftCell="A40" activePane="bottomLeft" state="frozen"/>
      <selection pane="bottomLeft" activeCell="Q40" sqref="Q40"/>
    </sheetView>
  </sheetViews>
  <sheetFormatPr baseColWidth="10" defaultColWidth="11.42578125" defaultRowHeight="15.75" x14ac:dyDescent="0.25"/>
  <cols>
    <col min="1" max="1" width="4.140625" style="34" customWidth="1"/>
    <col min="2" max="11" width="19" style="34" customWidth="1"/>
    <col min="12" max="16384" width="11.42578125" style="34"/>
  </cols>
  <sheetData>
    <row r="1" spans="2:11" ht="9.9499999999999993" customHeight="1" x14ac:dyDescent="0.25"/>
    <row r="2" spans="2:11" ht="24" customHeight="1" x14ac:dyDescent="0.25"/>
    <row r="3" spans="2:11" ht="24" customHeight="1" x14ac:dyDescent="0.25"/>
    <row r="4" spans="2:11" ht="42" customHeight="1" x14ac:dyDescent="0.25">
      <c r="B4" s="35" t="s">
        <v>23</v>
      </c>
      <c r="C4" s="36" t="s">
        <v>26</v>
      </c>
      <c r="D4" s="37"/>
      <c r="E4" s="37"/>
      <c r="F4" s="37"/>
      <c r="G4" s="37"/>
      <c r="H4" s="37"/>
      <c r="I4" s="37"/>
      <c r="J4" s="37"/>
      <c r="K4" s="37"/>
    </row>
    <row r="5" spans="2:11" ht="42" customHeight="1" x14ac:dyDescent="0.25">
      <c r="B5" s="38" t="s">
        <v>24</v>
      </c>
      <c r="C5" s="37"/>
      <c r="D5" s="37"/>
      <c r="E5" s="37"/>
      <c r="F5" s="37"/>
      <c r="G5" s="37"/>
      <c r="H5" s="37"/>
      <c r="I5" s="37"/>
      <c r="J5" s="37"/>
      <c r="K5" s="37"/>
    </row>
    <row r="6" spans="2:11" ht="15" customHeight="1" x14ac:dyDescent="0.25"/>
    <row r="19" spans="9:9" ht="21" x14ac:dyDescent="0.35">
      <c r="I19" s="39" t="s">
        <v>25</v>
      </c>
    </row>
    <row r="60" spans="9:10" x14ac:dyDescent="0.25">
      <c r="J60" s="43"/>
    </row>
    <row r="64" spans="9:10" ht="21" x14ac:dyDescent="0.35">
      <c r="I64" s="39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E12"/>
  <sheetViews>
    <sheetView workbookViewId="0">
      <selection activeCell="E7" sqref="E7:E12"/>
    </sheetView>
  </sheetViews>
  <sheetFormatPr baseColWidth="10" defaultRowHeight="15" x14ac:dyDescent="0.25"/>
  <cols>
    <col min="5" max="5" width="13.140625" bestFit="1" customWidth="1"/>
  </cols>
  <sheetData>
    <row r="6" spans="3:5" x14ac:dyDescent="0.25">
      <c r="C6" s="7" t="s">
        <v>9</v>
      </c>
      <c r="E6" s="7" t="s">
        <v>28</v>
      </c>
    </row>
    <row r="7" spans="3:5" x14ac:dyDescent="0.25">
      <c r="C7" t="s">
        <v>10</v>
      </c>
      <c r="E7" s="50" t="s">
        <v>29</v>
      </c>
    </row>
    <row r="8" spans="3:5" ht="30" x14ac:dyDescent="0.25">
      <c r="C8" t="s">
        <v>11</v>
      </c>
      <c r="E8" s="51" t="s">
        <v>30</v>
      </c>
    </row>
    <row r="9" spans="3:5" ht="30" x14ac:dyDescent="0.25">
      <c r="C9" t="s">
        <v>12</v>
      </c>
      <c r="E9" s="51" t="s">
        <v>31</v>
      </c>
    </row>
    <row r="10" spans="3:5" ht="30" x14ac:dyDescent="0.25">
      <c r="C10" t="s">
        <v>13</v>
      </c>
      <c r="E10" s="51" t="s">
        <v>32</v>
      </c>
    </row>
    <row r="11" spans="3:5" ht="45" x14ac:dyDescent="0.25">
      <c r="E11" s="51" t="s">
        <v>33</v>
      </c>
    </row>
    <row r="12" spans="3:5" ht="30" x14ac:dyDescent="0.25">
      <c r="E12" s="51" t="s">
        <v>34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31"/>
  <sheetViews>
    <sheetView showGridLines="0" tabSelected="1" zoomScale="85" zoomScaleNormal="85" workbookViewId="0">
      <pane ySplit="15" topLeftCell="A22" activePane="bottomLeft" state="frozen"/>
      <selection pane="bottomLeft" activeCell="B25" sqref="B25"/>
    </sheetView>
  </sheetViews>
  <sheetFormatPr baseColWidth="10" defaultColWidth="3.5703125" defaultRowHeight="15" x14ac:dyDescent="0.25"/>
  <cols>
    <col min="1" max="1" width="2.7109375" customWidth="1"/>
    <col min="2" max="2" width="33.140625" customWidth="1"/>
    <col min="3" max="3" width="23.85546875" customWidth="1"/>
    <col min="4" max="4" width="20.28515625" customWidth="1"/>
    <col min="5" max="5" width="19" customWidth="1"/>
    <col min="6" max="6" width="14.85546875" customWidth="1"/>
    <col min="7" max="7" width="20" customWidth="1"/>
    <col min="8" max="8" width="5" customWidth="1"/>
    <col min="9" max="9" width="20" customWidth="1"/>
    <col min="10" max="10" width="55.28515625" customWidth="1"/>
    <col min="11" max="11" width="13.7109375" hidden="1" customWidth="1"/>
  </cols>
  <sheetData>
    <row r="1" spans="2:11" ht="8.25" customHeight="1" x14ac:dyDescent="0.25"/>
    <row r="2" spans="2:11" ht="8.25" customHeight="1" x14ac:dyDescent="0.25"/>
    <row r="3" spans="2:11" ht="8.25" customHeight="1" x14ac:dyDescent="0.25"/>
    <row r="4" spans="2:11" ht="21.75" customHeight="1" x14ac:dyDescent="0.25">
      <c r="K4" s="8" t="s">
        <v>15</v>
      </c>
    </row>
    <row r="5" spans="2:11" ht="26.25" customHeight="1" x14ac:dyDescent="0.25">
      <c r="K5" s="8" t="s">
        <v>16</v>
      </c>
    </row>
    <row r="6" spans="2:11" s="1" customFormat="1" ht="29.25" customHeight="1" x14ac:dyDescent="0.3">
      <c r="B6" s="4" t="s">
        <v>7</v>
      </c>
      <c r="C6" s="54" t="s">
        <v>41</v>
      </c>
      <c r="D6" s="54"/>
      <c r="E6" s="54"/>
      <c r="G6" s="4" t="s">
        <v>21</v>
      </c>
      <c r="H6" s="30"/>
      <c r="I6" s="33">
        <v>44315</v>
      </c>
      <c r="J6" s="2"/>
      <c r="K6" s="9" t="s">
        <v>18</v>
      </c>
    </row>
    <row r="7" spans="2:11" s="1" customFormat="1" ht="18" customHeight="1" x14ac:dyDescent="0.3">
      <c r="E7"/>
      <c r="F7"/>
      <c r="G7" s="2"/>
      <c r="H7" s="2"/>
      <c r="I7" s="2"/>
      <c r="J7" s="2"/>
      <c r="K7" s="9" t="s">
        <v>17</v>
      </c>
    </row>
    <row r="8" spans="2:11" s="1" customFormat="1" ht="30" customHeight="1" x14ac:dyDescent="0.3">
      <c r="B8" s="4" t="s">
        <v>5</v>
      </c>
      <c r="C8" s="6"/>
      <c r="D8" s="6"/>
      <c r="E8" s="6"/>
      <c r="F8"/>
      <c r="G8" s="4" t="s">
        <v>22</v>
      </c>
      <c r="H8" s="30"/>
      <c r="I8" s="52">
        <v>44343</v>
      </c>
      <c r="J8" s="2"/>
    </row>
    <row r="9" spans="2:11" s="1" customFormat="1" ht="32.25" customHeight="1" x14ac:dyDescent="0.3">
      <c r="B9" s="4"/>
      <c r="C9" s="6"/>
      <c r="D9" s="6"/>
      <c r="E9" s="6"/>
      <c r="F9"/>
      <c r="J9" s="2"/>
    </row>
    <row r="10" spans="2:11" ht="9.75" customHeight="1" x14ac:dyDescent="0.25"/>
    <row r="11" spans="2:11" ht="5.25" customHeight="1" x14ac:dyDescent="0.25"/>
    <row r="12" spans="2:11" ht="8.25" hidden="1" customHeight="1" x14ac:dyDescent="0.25"/>
    <row r="13" spans="2:11" ht="10.5" hidden="1" customHeight="1" x14ac:dyDescent="0.25"/>
    <row r="14" spans="2:11" ht="33" customHeight="1" x14ac:dyDescent="0.3">
      <c r="G14" s="41" t="s">
        <v>27</v>
      </c>
      <c r="H14" s="30"/>
      <c r="I14" s="40">
        <f>+AVERAGEIF(Tabla1[PROGRESO (%)],"&gt;0",Tabla1[[#All],[PROGRESO (%)]])</f>
        <v>100</v>
      </c>
    </row>
    <row r="15" spans="2:11" ht="30.75" customHeight="1" x14ac:dyDescent="0.25">
      <c r="B15" s="20" t="s">
        <v>1</v>
      </c>
      <c r="C15" s="29" t="s">
        <v>20</v>
      </c>
      <c r="D15" s="20" t="s">
        <v>0</v>
      </c>
      <c r="E15" s="20" t="s">
        <v>4</v>
      </c>
      <c r="F15" s="20" t="s">
        <v>6</v>
      </c>
      <c r="G15" s="21" t="s">
        <v>2</v>
      </c>
      <c r="H15" s="28" t="s">
        <v>19</v>
      </c>
      <c r="I15" s="29" t="s">
        <v>14</v>
      </c>
      <c r="J15" s="20" t="s">
        <v>3</v>
      </c>
      <c r="K15" s="3"/>
    </row>
    <row r="16" spans="2:11" ht="30.75" customHeight="1" x14ac:dyDescent="0.25">
      <c r="B16" s="19" t="s">
        <v>8</v>
      </c>
      <c r="C16" s="15"/>
      <c r="D16" s="15">
        <v>44315</v>
      </c>
      <c r="E16" s="15">
        <v>44343</v>
      </c>
      <c r="F16" s="16">
        <f>IF(AND(Tabla1[[#This Row],[FECHA INICIO]]&lt;&gt;"",Tabla1[[#This Row],[FECHA ENTREGA]]&lt;&gt;""),E16-D16+1,"")</f>
        <v>29</v>
      </c>
      <c r="G16" s="17"/>
      <c r="H16" s="17" t="str">
        <f>IF(Tabla1[[#This Row],[STATUS]]&lt;&gt;"",IF(G16="Terminada",$K$4,IF(G16="En progreso",$K$5,IF(G16="Bloqueada",$K$7,$K$6))),"")</f>
        <v/>
      </c>
      <c r="I16" s="31">
        <f>AVERAGE(I17:I23)</f>
        <v>100</v>
      </c>
      <c r="J16" s="17"/>
      <c r="K16" s="3"/>
    </row>
    <row r="17" spans="2:11" ht="30.75" customHeight="1" x14ac:dyDescent="0.25">
      <c r="B17" s="18" t="s">
        <v>35</v>
      </c>
      <c r="C17" s="10" t="s">
        <v>34</v>
      </c>
      <c r="D17" s="10">
        <v>44315</v>
      </c>
      <c r="E17" s="10">
        <v>44322</v>
      </c>
      <c r="F17" s="11">
        <f>IF(AND(Tabla1[[#This Row],[FECHA INICIO]]&lt;&gt;"",Tabla1[[#This Row],[FECHA ENTREGA]]&lt;&gt;""),E17-D17+1,"")</f>
        <v>8</v>
      </c>
      <c r="G17" s="13" t="s">
        <v>13</v>
      </c>
      <c r="H17" s="14" t="str">
        <f>IF(Tabla1[[#This Row],[STATUS]]&lt;&gt;"",IF(G17="Terminada",$K$4,IF(G17="En progreso",$K$5,IF(G17="Bloqueada",$K$7,$K$6))),"")</f>
        <v>✔</v>
      </c>
      <c r="I17" s="31">
        <v>100</v>
      </c>
      <c r="J17" s="12"/>
      <c r="K17" s="3"/>
    </row>
    <row r="18" spans="2:11" ht="30.75" customHeight="1" x14ac:dyDescent="0.25">
      <c r="B18" s="18" t="s">
        <v>36</v>
      </c>
      <c r="C18" s="10" t="s">
        <v>34</v>
      </c>
      <c r="D18" s="10">
        <v>44315</v>
      </c>
      <c r="E18" s="10">
        <v>44323</v>
      </c>
      <c r="F18" s="11">
        <f>IF(AND(Tabla1[[#This Row],[FECHA INICIO]]&lt;&gt;"",Tabla1[[#This Row],[FECHA ENTREGA]]&lt;&gt;""),E18-D18+1,"")</f>
        <v>9</v>
      </c>
      <c r="G18" s="13" t="s">
        <v>13</v>
      </c>
      <c r="H18" s="14" t="str">
        <f>IF(Tabla1[[#This Row],[STATUS]]&lt;&gt;"",IF(G18="Terminada",$K$4,IF(G18="En progreso",$K$5,IF(G18="Bloqueada",$K$7,$K$6))),"")</f>
        <v>✔</v>
      </c>
      <c r="I18" s="31">
        <v>100</v>
      </c>
      <c r="J18" s="12"/>
      <c r="K18" s="3"/>
    </row>
    <row r="19" spans="2:11" ht="30.75" customHeight="1" x14ac:dyDescent="0.25">
      <c r="B19" s="18" t="s">
        <v>37</v>
      </c>
      <c r="C19" s="10" t="s">
        <v>29</v>
      </c>
      <c r="D19" s="10">
        <v>44322</v>
      </c>
      <c r="E19" s="10">
        <v>44343</v>
      </c>
      <c r="F19" s="11">
        <f>IF(AND(Tabla1[[#This Row],[FECHA INICIO]]&lt;&gt;"",Tabla1[[#This Row],[FECHA ENTREGA]]&lt;&gt;""),E19-D19+1,"")</f>
        <v>22</v>
      </c>
      <c r="G19" s="13" t="s">
        <v>13</v>
      </c>
      <c r="H19" s="14" t="str">
        <f>IF(Tabla1[[#This Row],[STATUS]]&lt;&gt;"",IF(G19="Terminada",$K$4,IF(G19="En progreso",$K$5,IF(G19="Bloqueada",$K$7,$K$6))),"")</f>
        <v>✔</v>
      </c>
      <c r="I19" s="31">
        <v>100</v>
      </c>
      <c r="J19" s="12"/>
      <c r="K19" s="3"/>
    </row>
    <row r="20" spans="2:11" ht="30.75" customHeight="1" x14ac:dyDescent="0.25">
      <c r="B20" s="18" t="s">
        <v>38</v>
      </c>
      <c r="C20" s="10" t="s">
        <v>29</v>
      </c>
      <c r="D20" s="10">
        <v>44336</v>
      </c>
      <c r="E20" s="10">
        <v>44341</v>
      </c>
      <c r="F20" s="11">
        <f>IF(AND(Tabla1[[#This Row],[FECHA INICIO]]&lt;&gt;"",Tabla1[[#This Row],[FECHA ENTREGA]]&lt;&gt;""),E20-D20+1,"")</f>
        <v>6</v>
      </c>
      <c r="G20" s="13" t="s">
        <v>11</v>
      </c>
      <c r="H20" s="14" t="str">
        <f>IF(Tabla1[[#This Row],[STATUS]]&lt;&gt;"",IF(G20="Terminada",$K$4,IF(G20="En progreso",$K$5,IF(G20="Bloqueada",$K$7,$K$6))),"")</f>
        <v>⏰</v>
      </c>
      <c r="I20" s="31">
        <v>100</v>
      </c>
      <c r="J20" s="12"/>
      <c r="K20" s="3"/>
    </row>
    <row r="21" spans="2:11" ht="30.75" customHeight="1" x14ac:dyDescent="0.25">
      <c r="B21" s="18" t="s">
        <v>39</v>
      </c>
      <c r="C21" s="10" t="s">
        <v>31</v>
      </c>
      <c r="D21" s="10">
        <v>44322</v>
      </c>
      <c r="E21" s="10">
        <v>44329</v>
      </c>
      <c r="F21" s="11">
        <f>IF(AND(Tabla1[[#This Row],[FECHA INICIO]]&lt;&gt;"",Tabla1[[#This Row],[FECHA ENTREGA]]&lt;&gt;""),E21-D21+1,"")</f>
        <v>8</v>
      </c>
      <c r="G21" s="13" t="s">
        <v>13</v>
      </c>
      <c r="H21" s="14" t="str">
        <f>IF(Tabla1[[#This Row],[STATUS]]&lt;&gt;"",IF(G21="Terminada",$K$4,IF(G21="En progreso",$K$5,IF(G21="Bloqueada",$K$7,$K$6))),"")</f>
        <v>✔</v>
      </c>
      <c r="I21" s="31">
        <v>100</v>
      </c>
      <c r="J21" s="12"/>
      <c r="K21" s="3"/>
    </row>
    <row r="22" spans="2:11" ht="30.75" customHeight="1" x14ac:dyDescent="0.25">
      <c r="B22" s="18" t="s">
        <v>40</v>
      </c>
      <c r="C22" s="15" t="s">
        <v>33</v>
      </c>
      <c r="D22" s="10">
        <v>44322</v>
      </c>
      <c r="E22" s="15">
        <v>44339</v>
      </c>
      <c r="F22" s="16">
        <f>IF(AND(Tabla1[[#This Row],[FECHA INICIO]]&lt;&gt;"",Tabla1[[#This Row],[FECHA ENTREGA]]&lt;&gt;""),E22-D22+1,"")</f>
        <v>18</v>
      </c>
      <c r="G22" s="13" t="s">
        <v>13</v>
      </c>
      <c r="H22" s="17" t="str">
        <f>IF(Tabla1[[#This Row],[STATUS]]&lt;&gt;"",IF(G22="Terminada",$K$4,IF(G22="En progreso",$K$5,IF(G22="Bloqueada",$K$7,$K$6))),"")</f>
        <v>✔</v>
      </c>
      <c r="I22" s="31">
        <v>100</v>
      </c>
      <c r="J22" s="17"/>
      <c r="K22" s="3"/>
    </row>
    <row r="23" spans="2:11" ht="30.75" customHeight="1" x14ac:dyDescent="0.25">
      <c r="B23" s="18" t="s">
        <v>42</v>
      </c>
      <c r="C23" s="10" t="s">
        <v>29</v>
      </c>
      <c r="D23" s="10">
        <v>44322</v>
      </c>
      <c r="E23" s="10">
        <v>44326</v>
      </c>
      <c r="F23" s="16">
        <f>IF(AND(Tabla1[[#This Row],[FECHA INICIO]]&lt;&gt;"",Tabla1[[#This Row],[FECHA ENTREGA]]&lt;&gt;""),E23-D23+1,"")</f>
        <v>5</v>
      </c>
      <c r="G23" s="13" t="s">
        <v>13</v>
      </c>
      <c r="H23" s="14" t="str">
        <f>IF(Tabla1[[#This Row],[STATUS]]&lt;&gt;"",IF(G23="Terminada",$K$4,IF(G23="En progreso",$K$5,IF(G23="Bloqueada",$K$7,$K$6))),"")</f>
        <v>✔</v>
      </c>
      <c r="I23" s="31">
        <v>100</v>
      </c>
      <c r="J23" s="12"/>
      <c r="K23" s="3"/>
    </row>
    <row r="24" spans="2:11" ht="30.75" customHeight="1" x14ac:dyDescent="0.25">
      <c r="B24" s="53" t="s">
        <v>43</v>
      </c>
      <c r="C24" s="10"/>
      <c r="D24" s="10"/>
      <c r="E24" s="10"/>
      <c r="F24" s="16"/>
      <c r="G24" s="13"/>
      <c r="H24" s="14"/>
      <c r="I24" s="31">
        <f>AVERAGE(I25:I31)</f>
        <v>0</v>
      </c>
      <c r="J24" s="12"/>
      <c r="K24" s="3"/>
    </row>
    <row r="25" spans="2:11" ht="30.75" customHeight="1" x14ac:dyDescent="0.25">
      <c r="B25" s="18" t="s">
        <v>44</v>
      </c>
      <c r="C25" s="10" t="s">
        <v>30</v>
      </c>
      <c r="D25" s="10"/>
      <c r="E25" s="10"/>
      <c r="F25" s="16"/>
      <c r="G25" s="13" t="s">
        <v>10</v>
      </c>
      <c r="H25" s="26"/>
      <c r="I25" s="31">
        <v>0</v>
      </c>
      <c r="J25" s="12"/>
      <c r="K25" s="3"/>
    </row>
    <row r="26" spans="2:11" ht="30.75" customHeight="1" x14ac:dyDescent="0.25">
      <c r="B26" s="22" t="s">
        <v>45</v>
      </c>
      <c r="C26" s="23" t="s">
        <v>29</v>
      </c>
      <c r="D26" s="23"/>
      <c r="E26" s="23"/>
      <c r="F26" s="16"/>
      <c r="G26" s="24" t="s">
        <v>10</v>
      </c>
      <c r="H26" s="27"/>
      <c r="I26" s="32">
        <v>0</v>
      </c>
      <c r="J26" s="25"/>
      <c r="K26" s="3"/>
    </row>
    <row r="27" spans="2:11" ht="30.75" customHeight="1" x14ac:dyDescent="0.25">
      <c r="B27" s="44" t="s">
        <v>46</v>
      </c>
      <c r="C27" s="45" t="s">
        <v>34</v>
      </c>
      <c r="D27" s="45"/>
      <c r="E27" s="45"/>
      <c r="F27" s="16"/>
      <c r="G27" s="46" t="s">
        <v>10</v>
      </c>
      <c r="H27" s="47"/>
      <c r="I27" s="48">
        <v>0</v>
      </c>
      <c r="J27" s="49"/>
      <c r="K27" s="3"/>
    </row>
    <row r="28" spans="2:11" ht="30.75" customHeight="1" x14ac:dyDescent="0.25">
      <c r="B28" s="44" t="s">
        <v>47</v>
      </c>
      <c r="C28" s="45" t="s">
        <v>29</v>
      </c>
      <c r="D28" s="45"/>
      <c r="E28" s="45"/>
      <c r="F28" s="16"/>
      <c r="G28" s="46" t="s">
        <v>10</v>
      </c>
      <c r="H28" s="47"/>
      <c r="I28" s="48">
        <v>0</v>
      </c>
      <c r="J28" s="49"/>
      <c r="K28" s="3"/>
    </row>
    <row r="29" spans="2:11" ht="30.75" customHeight="1" x14ac:dyDescent="0.25">
      <c r="B29" s="44" t="s">
        <v>48</v>
      </c>
      <c r="C29" s="45" t="s">
        <v>31</v>
      </c>
      <c r="D29" s="45"/>
      <c r="E29" s="45"/>
      <c r="F29" s="16"/>
      <c r="G29" s="46" t="s">
        <v>10</v>
      </c>
      <c r="H29" s="47"/>
      <c r="I29" s="48">
        <v>0</v>
      </c>
      <c r="J29" s="49"/>
      <c r="K29" s="3"/>
    </row>
    <row r="30" spans="2:11" ht="30.75" customHeight="1" x14ac:dyDescent="0.25">
      <c r="B30" s="55" t="s">
        <v>49</v>
      </c>
      <c r="C30" s="56" t="str">
        <f>+IFERROR(IF(FIND("Sprint",$B30,1)&gt;0,"",IF(C29&lt;&gt;"",C29,E29)),IF(C29&lt;&gt;"",C29,E29))</f>
        <v>Macaya Exequiel</v>
      </c>
      <c r="D30" s="56"/>
      <c r="E30" s="56"/>
      <c r="F30" s="57" t="str">
        <f>IF(AND(Tabla1[[#This Row],[FECHA INICIO]]&lt;&gt;"",Tabla1[[#This Row],[FECHA ENTREGA]]&lt;&gt;""),E30-D30+1,"")</f>
        <v/>
      </c>
      <c r="G30" s="58" t="s">
        <v>10</v>
      </c>
      <c r="H30" s="59" t="str">
        <f>+IF(G30="Terminada",$K$4,IF(G30="En progreso",$K$5,IF(G30="Bloqueada",$K$7,$K$6)))</f>
        <v>⌛</v>
      </c>
      <c r="I30" s="48">
        <v>0</v>
      </c>
      <c r="J30" s="60"/>
      <c r="K30" s="3"/>
    </row>
    <row r="31" spans="2:11" ht="30.75" customHeight="1" x14ac:dyDescent="0.25">
      <c r="B31" s="44" t="s">
        <v>38</v>
      </c>
      <c r="C31" s="45"/>
      <c r="D31" s="45"/>
      <c r="E31" s="45"/>
      <c r="F31" s="16"/>
      <c r="G31" s="46"/>
      <c r="H31" s="47"/>
      <c r="I31" s="48"/>
      <c r="J31" s="49"/>
      <c r="K31" s="3"/>
    </row>
  </sheetData>
  <sheetProtection formatCells="0" formatColumns="0" formatRows="0" insertColumns="0" insertRows="0" pivotTables="0"/>
  <mergeCells count="1">
    <mergeCell ref="C6:E6"/>
  </mergeCells>
  <conditionalFormatting sqref="I16:I17 I23:I26">
    <cfRule type="expression" dxfId="60" priority="260">
      <formula>$G16="No iniciada"</formula>
    </cfRule>
    <cfRule type="expression" dxfId="59" priority="261">
      <formula>$G16="Bloqueada"</formula>
    </cfRule>
    <cfRule type="dataBar" priority="268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{671DB2F2-68EF-4BC7-8E48-30C13AE2BB0A}</x14:id>
        </ext>
      </extLst>
    </cfRule>
  </conditionalFormatting>
  <conditionalFormatting sqref="G17:H17 G23:H26">
    <cfRule type="expression" dxfId="58" priority="265">
      <formula>G17="Terminada"</formula>
    </cfRule>
  </conditionalFormatting>
  <conditionalFormatting sqref="G17 G23:G26">
    <cfRule type="cellIs" dxfId="57" priority="262" operator="equal">
      <formula>"Bloqueada"</formula>
    </cfRule>
    <cfRule type="cellIs" dxfId="56" priority="263" operator="equal">
      <formula>"No iniciada"</formula>
    </cfRule>
    <cfRule type="cellIs" dxfId="55" priority="264" operator="equal">
      <formula>"En Progreso"</formula>
    </cfRule>
  </conditionalFormatting>
  <conditionalFormatting sqref="I18:I22">
    <cfRule type="expression" dxfId="54" priority="253">
      <formula>$G18="No iniciada"</formula>
    </cfRule>
    <cfRule type="expression" dxfId="53" priority="254">
      <formula>$G18="Bloqueada"</formula>
    </cfRule>
    <cfRule type="dataBar" priority="259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{4B0FD96C-E20F-414D-AFA0-2385DD6AE78E}</x14:id>
        </ext>
      </extLst>
    </cfRule>
  </conditionalFormatting>
  <conditionalFormatting sqref="G18:H21">
    <cfRule type="expression" dxfId="52" priority="258">
      <formula>G18="Terminada"</formula>
    </cfRule>
  </conditionalFormatting>
  <conditionalFormatting sqref="G18:G21">
    <cfRule type="cellIs" dxfId="51" priority="255" operator="equal">
      <formula>"Bloqueada"</formula>
    </cfRule>
    <cfRule type="cellIs" dxfId="50" priority="256" operator="equal">
      <formula>"No iniciada"</formula>
    </cfRule>
    <cfRule type="cellIs" dxfId="49" priority="257" operator="equal">
      <formula>"En Progreso"</formula>
    </cfRule>
  </conditionalFormatting>
  <conditionalFormatting sqref="B16:J687">
    <cfRule type="expression" dxfId="13" priority="244">
      <formula>FIND("Sprint",$B16,1)&gt;0</formula>
    </cfRule>
  </conditionalFormatting>
  <conditionalFormatting sqref="I27">
    <cfRule type="expression" dxfId="48" priority="36">
      <formula>$G27="No iniciada"</formula>
    </cfRule>
    <cfRule type="expression" dxfId="47" priority="37">
      <formula>$G27="Bloqueada"</formula>
    </cfRule>
    <cfRule type="dataBar" priority="4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{591A81C3-081C-4CFD-A951-29D1527920BF}</x14:id>
        </ext>
      </extLst>
    </cfRule>
  </conditionalFormatting>
  <conditionalFormatting sqref="G27:H27">
    <cfRule type="expression" dxfId="46" priority="41">
      <formula>G27="Terminada"</formula>
    </cfRule>
  </conditionalFormatting>
  <conditionalFormatting sqref="G27">
    <cfRule type="cellIs" dxfId="45" priority="38" operator="equal">
      <formula>"Bloqueada"</formula>
    </cfRule>
    <cfRule type="cellIs" dxfId="44" priority="39" operator="equal">
      <formula>"No iniciada"</formula>
    </cfRule>
    <cfRule type="cellIs" dxfId="43" priority="40" operator="equal">
      <formula>"En Progreso"</formula>
    </cfRule>
  </conditionalFormatting>
  <conditionalFormatting sqref="B27:J27">
    <cfRule type="expression" dxfId="42" priority="35">
      <formula>FIND("Sprint",$B27,1)&gt;0</formula>
    </cfRule>
  </conditionalFormatting>
  <conditionalFormatting sqref="B28:J28 I29:I31">
    <cfRule type="expression" dxfId="41" priority="34">
      <formula>FIND("Sprint",$B28,1)&gt;0</formula>
    </cfRule>
  </conditionalFormatting>
  <conditionalFormatting sqref="I28">
    <cfRule type="expression" dxfId="12" priority="27">
      <formula>$G28="No iniciada"</formula>
    </cfRule>
    <cfRule type="expression" dxfId="11" priority="28">
      <formula>$G28="Bloqueada"</formula>
    </cfRule>
    <cfRule type="dataBar" priority="33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{3356C1C9-65C3-4CED-82C9-2C27A35E07DB}</x14:id>
        </ext>
      </extLst>
    </cfRule>
  </conditionalFormatting>
  <conditionalFormatting sqref="G28:H28">
    <cfRule type="expression" dxfId="40" priority="32">
      <formula>G28="Terminada"</formula>
    </cfRule>
  </conditionalFormatting>
  <conditionalFormatting sqref="G28">
    <cfRule type="cellIs" dxfId="39" priority="29" operator="equal">
      <formula>"Bloqueada"</formula>
    </cfRule>
    <cfRule type="cellIs" dxfId="38" priority="30" operator="equal">
      <formula>"No iniciada"</formula>
    </cfRule>
    <cfRule type="cellIs" dxfId="37" priority="31" operator="equal">
      <formula>"En Progreso"</formula>
    </cfRule>
  </conditionalFormatting>
  <conditionalFormatting sqref="B28:J28">
    <cfRule type="expression" dxfId="10" priority="26">
      <formula>FIND("Sprint",$B28,1)&gt;0</formula>
    </cfRule>
  </conditionalFormatting>
  <conditionalFormatting sqref="B29:J30">
    <cfRule type="expression" dxfId="36" priority="25">
      <formula>FIND("Sprint",$B29,1)&gt;0</formula>
    </cfRule>
  </conditionalFormatting>
  <conditionalFormatting sqref="B29:J30">
    <cfRule type="expression" dxfId="35" priority="24">
      <formula>FIND("Sprint",$B29,1)&gt;0</formula>
    </cfRule>
  </conditionalFormatting>
  <conditionalFormatting sqref="I29:I30">
    <cfRule type="expression" dxfId="34" priority="17">
      <formula>$G29="No iniciada"</formula>
    </cfRule>
    <cfRule type="expression" dxfId="33" priority="18">
      <formula>$G29="Bloqueada"</formula>
    </cfRule>
    <cfRule type="dataBar" priority="23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{C18ED48D-3ECC-4068-861D-B3E5B73C8B49}</x14:id>
        </ext>
      </extLst>
    </cfRule>
  </conditionalFormatting>
  <conditionalFormatting sqref="G29:H30">
    <cfRule type="expression" dxfId="32" priority="22">
      <formula>G29="Terminada"</formula>
    </cfRule>
  </conditionalFormatting>
  <conditionalFormatting sqref="G29:G30">
    <cfRule type="cellIs" dxfId="31" priority="19" operator="equal">
      <formula>"Bloqueada"</formula>
    </cfRule>
    <cfRule type="cellIs" dxfId="30" priority="20" operator="equal">
      <formula>"No iniciada"</formula>
    </cfRule>
    <cfRule type="cellIs" dxfId="29" priority="21" operator="equal">
      <formula>"En Progreso"</formula>
    </cfRule>
  </conditionalFormatting>
  <conditionalFormatting sqref="B29:J30">
    <cfRule type="expression" dxfId="28" priority="16">
      <formula>FIND("Sprint",$B29,1)&gt;0</formula>
    </cfRule>
  </conditionalFormatting>
  <conditionalFormatting sqref="B31:J31">
    <cfRule type="expression" dxfId="27" priority="15">
      <formula>FIND("Sprint",$B31,1)&gt;0</formula>
    </cfRule>
  </conditionalFormatting>
  <conditionalFormatting sqref="B31:J31">
    <cfRule type="expression" dxfId="26" priority="14">
      <formula>FIND("Sprint",$B31,1)&gt;0</formula>
    </cfRule>
  </conditionalFormatting>
  <conditionalFormatting sqref="B31:J31">
    <cfRule type="expression" dxfId="25" priority="13">
      <formula>FIND("Sprint",$B31,1)&gt;0</formula>
    </cfRule>
  </conditionalFormatting>
  <conditionalFormatting sqref="I31">
    <cfRule type="expression" dxfId="24" priority="6">
      <formula>$G31="No iniciada"</formula>
    </cfRule>
    <cfRule type="expression" dxfId="23" priority="7">
      <formula>$G31="Bloqueada"</formula>
    </cfRule>
    <cfRule type="dataBar" priority="1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{ADEC3371-C388-470F-AE58-4E21AB60C34A}</x14:id>
        </ext>
      </extLst>
    </cfRule>
  </conditionalFormatting>
  <conditionalFormatting sqref="G31:H31">
    <cfRule type="expression" dxfId="22" priority="11">
      <formula>G31="Terminada"</formula>
    </cfRule>
  </conditionalFormatting>
  <conditionalFormatting sqref="G31">
    <cfRule type="cellIs" dxfId="21" priority="8" operator="equal">
      <formula>"Bloqueada"</formula>
    </cfRule>
    <cfRule type="cellIs" dxfId="20" priority="9" operator="equal">
      <formula>"No iniciada"</formula>
    </cfRule>
    <cfRule type="cellIs" dxfId="19" priority="10" operator="equal">
      <formula>"En Progreso"</formula>
    </cfRule>
  </conditionalFormatting>
  <conditionalFormatting sqref="B31:J31">
    <cfRule type="expression" dxfId="18" priority="5">
      <formula>FIND("Sprint",$B31,1)&gt;0</formula>
    </cfRule>
  </conditionalFormatting>
  <conditionalFormatting sqref="G22">
    <cfRule type="expression" dxfId="17" priority="4">
      <formula>G22="Terminada"</formula>
    </cfRule>
  </conditionalFormatting>
  <conditionalFormatting sqref="G22">
    <cfRule type="cellIs" dxfId="16" priority="1" operator="equal">
      <formula>"Bloqueada"</formula>
    </cfRule>
    <cfRule type="cellIs" dxfId="15" priority="2" operator="equal">
      <formula>"No iniciada"</formula>
    </cfRule>
    <cfRule type="cellIs" dxfId="14" priority="3" operator="equal">
      <formula>"En Progreso"</formula>
    </cfRule>
  </conditionalFormatting>
  <dataValidations count="4">
    <dataValidation type="list" allowBlank="1" showInputMessage="1" showErrorMessage="1" sqref="G17:G31">
      <formula1>estados</formula1>
    </dataValidation>
    <dataValidation allowBlank="1" showInputMessage="1" showErrorMessage="1" promptTitle="Sprint" prompt="Cuando se vaya a nombrar un Sprint, siempre debe contener la palabra &quot;Sprint&quot;" sqref="B16"/>
    <dataValidation errorStyle="warning" allowBlank="1" showInputMessage="1" showErrorMessage="1" promptTitle="Status" prompt="Cuando el status sea Terminada, el progresos debe ser 100" sqref="G15"/>
    <dataValidation type="list" allowBlank="1" showInputMessage="1" showErrorMessage="1" sqref="C16:C31">
      <formula1>INDIRECT("responsables")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1DB2F2-68EF-4BC7-8E48-30C13AE2BB0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I16:I17 I23:I26</xm:sqref>
        </x14:conditionalFormatting>
        <x14:conditionalFormatting xmlns:xm="http://schemas.microsoft.com/office/excel/2006/main">
          <x14:cfRule type="dataBar" id="{4B0FD96C-E20F-414D-AFA0-2385DD6AE78E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I18:I22</xm:sqref>
        </x14:conditionalFormatting>
        <x14:conditionalFormatting xmlns:xm="http://schemas.microsoft.com/office/excel/2006/main">
          <x14:cfRule type="dataBar" id="{591A81C3-081C-4CFD-A951-29D1527920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3356C1C9-65C3-4CED-82C9-2C27A35E07DB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C18ED48D-3ECC-4068-861D-B3E5B73C8B49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I29:I30</xm:sqref>
        </x14:conditionalFormatting>
        <x14:conditionalFormatting xmlns:xm="http://schemas.microsoft.com/office/excel/2006/main">
          <x14:cfRule type="dataBar" id="{ADEC3371-C388-470F-AE58-4E21AB60C34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31"/>
  <sheetViews>
    <sheetView showGridLines="0" zoomScale="175" zoomScaleNormal="175" workbookViewId="0">
      <selection activeCell="U2" sqref="U2"/>
    </sheetView>
  </sheetViews>
  <sheetFormatPr baseColWidth="10" defaultColWidth="0" defaultRowHeight="13.5" zeroHeight="1" x14ac:dyDescent="0.25"/>
  <cols>
    <col min="1" max="1" width="4.7109375" style="5" customWidth="1"/>
    <col min="2" max="2" width="11.42578125" style="5" customWidth="1"/>
    <col min="3" max="3" width="0.140625" style="5" customWidth="1"/>
    <col min="4" max="4" width="2.5703125" style="5" customWidth="1"/>
    <col min="5" max="5" width="4.140625" style="5" hidden="1" customWidth="1"/>
    <col min="6" max="6" width="3.140625" style="5" customWidth="1"/>
    <col min="7" max="7" width="1.140625" style="5" customWidth="1"/>
    <col min="8" max="8" width="2.42578125" style="5" customWidth="1"/>
    <col min="9" max="9" width="1.5703125" style="5" customWidth="1"/>
    <col min="10" max="20" width="11.42578125" style="5" customWidth="1"/>
    <col min="21" max="21" width="3.42578125" style="5" customWidth="1"/>
    <col min="22" max="22" width="0" style="5" hidden="1" customWidth="1"/>
    <col min="23" max="16384" width="11.42578125" style="5" hidden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</row>
    <row r="2" spans="1:22" ht="15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8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</row>
    <row r="17" spans="1:2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</row>
    <row r="18" spans="1:2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</row>
    <row r="19" spans="1:2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</row>
    <row r="20" spans="1:2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</row>
    <row r="21" spans="1:2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</row>
    <row r="22" spans="1:2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</row>
    <row r="23" spans="1:2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</row>
    <row r="24" spans="1:2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</row>
    <row r="25" spans="1:2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</row>
    <row r="26" spans="1:2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</row>
    <row r="27" spans="1:21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</row>
    <row r="28" spans="1:21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</row>
    <row r="29" spans="1:21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</row>
    <row r="30" spans="1:21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</row>
    <row r="31" spans="1:21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- AYUDA -</vt:lpstr>
      <vt:lpstr>Valores</vt:lpstr>
      <vt:lpstr>PLANTILLA</vt:lpstr>
      <vt:lpstr>RESUMEN GRÁFICO</vt:lpstr>
      <vt:lpstr>estados</vt:lpstr>
      <vt:lpstr>responsables</vt:lpstr>
      <vt:lpstr>Tabla3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Escobar</dc:creator>
  <cp:lastModifiedBy>FamiliaRey</cp:lastModifiedBy>
  <dcterms:created xsi:type="dcterms:W3CDTF">2020-10-20T19:56:13Z</dcterms:created>
  <dcterms:modified xsi:type="dcterms:W3CDTF">2021-05-27T23:30:47Z</dcterms:modified>
</cp:coreProperties>
</file>